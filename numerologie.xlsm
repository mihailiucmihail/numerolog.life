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C:\Users\User\Desktop\"/>
    </mc:Choice>
  </mc:AlternateContent>
  <bookViews>
    <workbookView xWindow="1860" yWindow="0" windowWidth="20490" windowHeight="7350" activeTab="1"/>
  </bookViews>
  <sheets>
    <sheet name="Лист1" sheetId="12" r:id="rId1"/>
    <sheet name="Кристалл Судьбы" sheetId="1" r:id="rId2"/>
    <sheet name="Мандала" sheetId="10" r:id="rId3"/>
    <sheet name="Совместимость" sheetId="2" r:id="rId4"/>
    <sheet name="Прогностика" sheetId="3" r:id="rId5"/>
    <sheet name="Халдейская" sheetId="9" r:id="rId6"/>
    <sheet name="Алфавит" sheetId="6" r:id="rId7"/>
    <sheet name="Планеты" sheetId="5" r:id="rId8"/>
    <sheet name="Кармические Страны" sheetId="7" r:id="rId9"/>
    <sheet name="МК Дата" sheetId="8" r:id="rId10"/>
    <sheet name="Каст" sheetId="11" r:id="rId11"/>
    <sheet name="Лист2" sheetId="13" r:id="rId12"/>
  </sheets>
  <functionGroups builtInGroupCount="18"/>
  <externalReferences>
    <externalReference r:id="rId13"/>
  </externalReferences>
  <definedNames>
    <definedName name="_xlnm._FilterDatabase" localSheetId="1" hidden="1">'Кристалл Судьбы'!$BA$38:$BE$60</definedName>
    <definedName name="Age">'Кристалл Судьбы'!$V$9</definedName>
    <definedName name="Alphabet">Алфавит!$C$3</definedName>
    <definedName name="AlphabetEng">Алфавит!$C$10</definedName>
    <definedName name="AlphabetRus">Алфавит!$C$7</definedName>
    <definedName name="CoZ">'Кристалл Судьбы'!$Y$4</definedName>
    <definedName name="CZ_1">Совместимость!$D$15</definedName>
    <definedName name="CZ_12">Совместимость!$F$12</definedName>
    <definedName name="CZ_2">Совместимость!$J$15</definedName>
    <definedName name="CZ_21">Совместимость!$H$12</definedName>
    <definedName name="CZ_3">Совместимость!$G$9</definedName>
    <definedName name="D_13">Совместимость!$S$37</definedName>
    <definedName name="D_23">Совместимость!$S$40</definedName>
    <definedName name="D_3">Совместимость!$T$39</definedName>
    <definedName name="DayTaro1">Совместимость!$D$7</definedName>
    <definedName name="DayTaro2">Совместимость!$L$7</definedName>
    <definedName name="DayTaroS">Прогностика!$D$6</definedName>
    <definedName name="DOB">'Кристалл Судьбы'!$V$2</definedName>
    <definedName name="DOB_D1">'Кристалл Судьбы'!$X$1</definedName>
    <definedName name="DOB_D2">'Кристалл Судьбы'!$Y$1</definedName>
    <definedName name="DOB_Day">'Кристалл Судьбы'!$V$6</definedName>
    <definedName name="DOB_Day1">Совместимость!$C$7</definedName>
    <definedName name="DOB_Day2">Совместимость!$K$7</definedName>
    <definedName name="DOB_M1">'Кристалл Судьбы'!$Z$1</definedName>
    <definedName name="DOB_M2">'Кристалл Судьбы'!$AA$1</definedName>
    <definedName name="DOB_Month">'Кристалл Судьбы'!$V$7</definedName>
    <definedName name="DOB_Month1">Совместимость!$C$8</definedName>
    <definedName name="DOB_Month2">Совместимость!$K$8</definedName>
    <definedName name="DOB_Y1">'Кристалл Судьбы'!$AB$1</definedName>
    <definedName name="DOB_Y2">'Кристалл Судьбы'!$AC$1</definedName>
    <definedName name="DOB_Y3">'Кристалл Судьбы'!$AD$4</definedName>
    <definedName name="DOB_Y4">'Кристалл Судьбы'!$AE$1</definedName>
    <definedName name="DOB_Year">'Кристалл Судьбы'!$V$8</definedName>
    <definedName name="DOB_Year1">Совместимость!$C$9</definedName>
    <definedName name="DOB_Year2">Совместимость!$K$9</definedName>
    <definedName name="DOP_OPV">[1]Главная!$H$6</definedName>
    <definedName name="Dop_TP">[1]Главная!$H$5</definedName>
    <definedName name="FirstName">'Кристалл Судьбы'!$V$4</definedName>
    <definedName name="KN_2">'Кристалл Судьбы'!$AA$25</definedName>
    <definedName name="KN_3">'Кристалл Судьбы'!$AC$25</definedName>
    <definedName name="KN_4">'Кристалл Судьбы'!$AE$25</definedName>
    <definedName name="KN_Main">'Кристалл Судьбы'!$AG$25</definedName>
    <definedName name="LastName">'Кристалл Судьбы'!$V$3</definedName>
    <definedName name="M_13">Совместимость!$T$35</definedName>
    <definedName name="M_23">Совместимость!$V$35</definedName>
    <definedName name="M_3">Совместимость!$U$37</definedName>
    <definedName name="MiddleName">'Кристалл Судьбы'!$V$5</definedName>
    <definedName name="MK">'Кристалл Судьбы'!$AE$5</definedName>
    <definedName name="MKist">'Кристалл Судьбы'!$AH$5</definedName>
    <definedName name="MKist1">Совместимость!$U$18</definedName>
    <definedName name="MKist2">Совместимость!$U$19</definedName>
    <definedName name="MonthTaro1">Совместимость!$D$8</definedName>
    <definedName name="MonthTaro2">Совместимость!$L$8</definedName>
    <definedName name="MonthtaroS">Прогностика!$D$7</definedName>
    <definedName name="MOPV_1">Мандала!$I$5</definedName>
    <definedName name="MOPV_2">Мандала!$J$5</definedName>
    <definedName name="MOPV_3">Мандала!$K$5</definedName>
    <definedName name="MOPV_4">Мандала!$L$5</definedName>
    <definedName name="MOPV_Dop">Мандала!$H$5</definedName>
    <definedName name="MOPV_G">Мандала!$M$5</definedName>
    <definedName name="Name1">Совместимость!$C$6</definedName>
    <definedName name="Name2">Совместимость!$K$6</definedName>
    <definedName name="NameArc">Прогностика!$D$9</definedName>
    <definedName name="NameArc1">Совместимость!$D$6</definedName>
    <definedName name="NameArc2">Совместимость!$L$6</definedName>
    <definedName name="OPV">'Кристалл Судьбы'!$Z$16</definedName>
    <definedName name="OPV_1">Совместимость!$C$12</definedName>
    <definedName name="OPV_2">Совместимость!$K$12</definedName>
    <definedName name="OPV_DOP">'Кристалл Судьбы'!$AA$16</definedName>
    <definedName name="OPV1_Dop">Совместимость!$C$13</definedName>
    <definedName name="OPV2_Dop">Совместимость!$K$13</definedName>
    <definedName name="StagnationFactor">'Кристалл Судьбы'!$V$32</definedName>
    <definedName name="TaroDay">'Кристалл Судьбы'!$V$18</definedName>
    <definedName name="TaroMonth">'Кристалл Судьбы'!$V$19</definedName>
    <definedName name="TaroName">'Кристалл Судьбы'!$W$4</definedName>
    <definedName name="TaroYear">'Кристалл Судьбы'!$V$20</definedName>
    <definedName name="TP">'Кристалл Судьбы'!$X$16</definedName>
    <definedName name="TP_1">Совместимость!$D$16</definedName>
    <definedName name="TP_2">Совместимость!$J$16</definedName>
    <definedName name="TP_22">'Кристалл Судьбы'!$AA$24</definedName>
    <definedName name="TP_3">'Кристалл Судьбы'!$AC$24</definedName>
    <definedName name="TP_4">'Кристалл Судьбы'!$AE$24</definedName>
    <definedName name="TP_DOP">'Кристалл Судьбы'!$Y$16</definedName>
    <definedName name="TP_Main">'Кристалл Судьбы'!$AG$24</definedName>
    <definedName name="Volwels">Алфавит!$C$4</definedName>
    <definedName name="WorkNum_1">'Кристалл Судьбы'!$X$19</definedName>
    <definedName name="WorkNum_2">'Кристалл Судьбы'!$Y$19</definedName>
    <definedName name="WorkNum_3">'Кристалл Судьбы'!$Z$19</definedName>
    <definedName name="WorkNum_4">'Кристалл Судьбы'!$AA$19</definedName>
    <definedName name="WorkNum_5">'Кристалл Судьбы'!$AB$19</definedName>
    <definedName name="WorkNum_6">'Кристалл Судьбы'!$AC$19</definedName>
    <definedName name="Y_13">Совместимость!$W$37</definedName>
    <definedName name="Y_23">Совместимость!$W$40</definedName>
    <definedName name="Y_3">Совместимость!$V$39</definedName>
    <definedName name="YearTaro1">Совместимость!$D$9</definedName>
    <definedName name="YearTaro2">Совместимость!$L$9</definedName>
    <definedName name="YearTaroS">Прогностика!$D$8</definedName>
    <definedName name="_xlnm.Print_Area" localSheetId="1">'Кристалл Судьбы'!$A$3:$R$30</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8" i="2" l="1"/>
  <c r="AU151" i="1"/>
  <c r="AU149" i="1"/>
  <c r="AU146" i="1"/>
  <c r="AU144" i="1"/>
  <c r="AU141" i="1"/>
  <c r="AU139" i="1"/>
  <c r="AU136" i="1"/>
  <c r="AU134" i="1"/>
  <c r="AU131" i="1"/>
  <c r="AU129" i="1"/>
  <c r="AU126" i="1"/>
  <c r="AU124" i="1"/>
  <c r="AU121" i="1"/>
  <c r="AU119" i="1"/>
  <c r="G9" i="10"/>
  <c r="B11" i="10" s="1"/>
  <c r="C11" i="10" s="1"/>
  <c r="C2" i="10"/>
  <c r="C6" i="10"/>
  <c r="I9" i="10"/>
  <c r="U108" i="3"/>
  <c r="U101" i="3"/>
  <c r="U94" i="3"/>
  <c r="U87" i="3"/>
  <c r="U80" i="3"/>
  <c r="U73" i="3"/>
  <c r="U66" i="3"/>
  <c r="U59" i="3"/>
  <c r="U52" i="3"/>
  <c r="U45" i="3"/>
  <c r="U38" i="3"/>
  <c r="U31" i="3"/>
  <c r="U24" i="3"/>
  <c r="I10" i="10"/>
  <c r="B33" i="10" s="1"/>
  <c r="G33" i="10"/>
  <c r="O14" i="2"/>
  <c r="M14" i="2"/>
  <c r="W318" i="1"/>
  <c r="X318" i="1" s="1"/>
  <c r="Y318" i="1" s="1"/>
  <c r="Z318" i="1" s="1"/>
  <c r="AA318" i="1" s="1"/>
  <c r="AB318" i="1" s="1"/>
  <c r="AC318" i="1" s="1"/>
  <c r="AE314" i="1"/>
  <c r="X313" i="1"/>
  <c r="W313" i="1"/>
  <c r="V313" i="1"/>
  <c r="V23" i="2"/>
  <c r="R23" i="2"/>
  <c r="G87" i="2"/>
  <c r="K69" i="2"/>
  <c r="E69" i="2"/>
  <c r="X42" i="2"/>
  <c r="X35" i="2"/>
  <c r="W43" i="2"/>
  <c r="S43" i="2"/>
  <c r="W33" i="2"/>
  <c r="S33" i="2"/>
  <c r="R41" i="2"/>
  <c r="R35" i="2"/>
  <c r="BM26" i="1"/>
  <c r="BL5" i="1"/>
  <c r="BM5" i="1" s="1"/>
  <c r="BT4" i="1"/>
  <c r="BT5" i="1" s="1"/>
  <c r="BT6" i="1" s="1"/>
  <c r="BT7" i="1" s="1"/>
  <c r="BT8" i="1" s="1"/>
  <c r="BT9" i="1" s="1"/>
  <c r="BT10" i="1" s="1"/>
  <c r="BT11" i="1" s="1"/>
  <c r="BT12" i="1" s="1"/>
  <c r="BT13" i="1" s="1"/>
  <c r="BT14" i="1" s="1"/>
  <c r="BT15" i="1" s="1"/>
  <c r="BT16" i="1" s="1"/>
  <c r="BT17" i="1" s="1"/>
  <c r="BT18" i="1" s="1"/>
  <c r="BT19" i="1" s="1"/>
  <c r="BT20" i="1" s="1"/>
  <c r="BT21" i="1" s="1"/>
  <c r="BT22" i="1" s="1"/>
  <c r="BT23" i="1" s="1"/>
  <c r="BT24" i="1" s="1"/>
  <c r="BT25" i="1" s="1"/>
  <c r="BT26" i="1" s="1"/>
  <c r="BT27" i="1" s="1"/>
  <c r="BT28" i="1" s="1"/>
  <c r="BT29" i="1" s="1"/>
  <c r="BT30" i="1" s="1"/>
  <c r="BT31" i="1" s="1"/>
  <c r="BT32" i="1" s="1"/>
  <c r="BT33" i="1" s="1"/>
  <c r="BT34" i="1" s="1"/>
  <c r="BT35" i="1" s="1"/>
  <c r="BT36" i="1" s="1"/>
  <c r="BT37" i="1" s="1"/>
  <c r="BT38" i="1" s="1"/>
  <c r="BT39" i="1" s="1"/>
  <c r="BT40" i="1" s="1"/>
  <c r="BT41" i="1" s="1"/>
  <c r="BT42" i="1" s="1"/>
  <c r="BT43" i="1" s="1"/>
  <c r="BT44" i="1" s="1"/>
  <c r="BT45" i="1" s="1"/>
  <c r="BT46" i="1" s="1"/>
  <c r="BT47" i="1" s="1"/>
  <c r="BT48" i="1" s="1"/>
  <c r="BT49" i="1" s="1"/>
  <c r="BT50" i="1" s="1"/>
  <c r="BT51" i="1" s="1"/>
  <c r="BT52" i="1" s="1"/>
  <c r="BT53" i="1" s="1"/>
  <c r="BT54" i="1" s="1"/>
  <c r="BT55" i="1" s="1"/>
  <c r="BT56" i="1" s="1"/>
  <c r="BT57" i="1" s="1"/>
  <c r="BT58" i="1" s="1"/>
  <c r="BT59" i="1" s="1"/>
  <c r="BT60" i="1" s="1"/>
  <c r="BT61" i="1" s="1"/>
  <c r="BT62" i="1" s="1"/>
  <c r="BT63" i="1" s="1"/>
  <c r="BT64" i="1" s="1"/>
  <c r="BT65" i="1" s="1"/>
  <c r="BT66" i="1" s="1"/>
  <c r="BT67" i="1" s="1"/>
  <c r="BT68" i="1" s="1"/>
  <c r="BT69" i="1" s="1"/>
  <c r="BT70" i="1" s="1"/>
  <c r="BT71" i="1" s="1"/>
  <c r="BT72" i="1" s="1"/>
  <c r="BT73" i="1" s="1"/>
  <c r="BT74" i="1" s="1"/>
  <c r="BT75" i="1" s="1"/>
  <c r="BT76" i="1" s="1"/>
  <c r="BT77" i="1" s="1"/>
  <c r="BT78" i="1" s="1"/>
  <c r="BT79" i="1" s="1"/>
  <c r="BT80" i="1" s="1"/>
  <c r="BT81" i="1" s="1"/>
  <c r="BT82" i="1" s="1"/>
  <c r="BT83" i="1" s="1"/>
  <c r="BT84" i="1" s="1"/>
  <c r="BT85" i="1" s="1"/>
  <c r="BT86" i="1" s="1"/>
  <c r="BT87" i="1" s="1"/>
  <c r="BQ5" i="1"/>
  <c r="BL6" i="1" s="1"/>
  <c r="BM6" i="1" s="1"/>
  <c r="BN6" i="1" s="1"/>
  <c r="BO6" i="1" s="1"/>
  <c r="BP6" i="1" s="1"/>
  <c r="BQ6" i="1" s="1"/>
  <c r="BL7" i="1" s="1"/>
  <c r="BM7" i="1" s="1"/>
  <c r="BN7" i="1" s="1"/>
  <c r="BO7" i="1" s="1"/>
  <c r="BP7" i="1" s="1"/>
  <c r="BQ7" i="1" s="1"/>
  <c r="BL8" i="1" s="1"/>
  <c r="BM8" i="1" s="1"/>
  <c r="BN8" i="1" s="1"/>
  <c r="BO8" i="1" s="1"/>
  <c r="BP8" i="1" s="1"/>
  <c r="BQ8" i="1" s="1"/>
  <c r="BL9" i="1" s="1"/>
  <c r="BM9" i="1" s="1"/>
  <c r="BN9" i="1" s="1"/>
  <c r="BO9" i="1" s="1"/>
  <c r="BP9" i="1" s="1"/>
  <c r="BQ9" i="1" s="1"/>
  <c r="BL10" i="1" s="1"/>
  <c r="BM10" i="1" s="1"/>
  <c r="BN10" i="1" s="1"/>
  <c r="BO10" i="1" s="1"/>
  <c r="BP10" i="1" s="1"/>
  <c r="BQ10" i="1" s="1"/>
  <c r="BL11" i="1" s="1"/>
  <c r="BM11" i="1" s="1"/>
  <c r="BN11" i="1" s="1"/>
  <c r="BO11" i="1" s="1"/>
  <c r="BP11" i="1" s="1"/>
  <c r="BQ11" i="1" s="1"/>
  <c r="BL12" i="1" s="1"/>
  <c r="BM12" i="1" s="1"/>
  <c r="BN12" i="1" s="1"/>
  <c r="BO12" i="1" s="1"/>
  <c r="BP12" i="1" s="1"/>
  <c r="BQ12" i="1" s="1"/>
  <c r="BL13" i="1" s="1"/>
  <c r="BM13" i="1" s="1"/>
  <c r="BN13" i="1" s="1"/>
  <c r="BO13" i="1" s="1"/>
  <c r="BP13" i="1" s="1"/>
  <c r="BQ13" i="1" s="1"/>
  <c r="BL14" i="1" s="1"/>
  <c r="BM14" i="1" s="1"/>
  <c r="BN14" i="1" s="1"/>
  <c r="BO14" i="1" s="1"/>
  <c r="BP14" i="1" s="1"/>
  <c r="BQ14" i="1" s="1"/>
  <c r="BL15" i="1" s="1"/>
  <c r="BM15" i="1" s="1"/>
  <c r="BN15" i="1" s="1"/>
  <c r="BO15" i="1" s="1"/>
  <c r="BP15" i="1" s="1"/>
  <c r="BQ15" i="1" s="1"/>
  <c r="BL16" i="1" s="1"/>
  <c r="BM16" i="1" s="1"/>
  <c r="BN16" i="1" s="1"/>
  <c r="BO16" i="1" s="1"/>
  <c r="BP16" i="1" s="1"/>
  <c r="BQ16" i="1" s="1"/>
  <c r="BL17" i="1" s="1"/>
  <c r="BM17" i="1" s="1"/>
  <c r="BN17" i="1" s="1"/>
  <c r="BO17" i="1" s="1"/>
  <c r="BP17" i="1" s="1"/>
  <c r="BQ17" i="1" s="1"/>
  <c r="BL18" i="1" s="1"/>
  <c r="BM18" i="1" s="1"/>
  <c r="BN18" i="1" s="1"/>
  <c r="BO18" i="1" s="1"/>
  <c r="BP18" i="1" s="1"/>
  <c r="BQ18" i="1" s="1"/>
  <c r="BL19" i="1" s="1"/>
  <c r="BM19" i="1" s="1"/>
  <c r="BN19" i="1" s="1"/>
  <c r="BO19" i="1" s="1"/>
  <c r="BP19" i="1" s="1"/>
  <c r="BQ19" i="1" s="1"/>
  <c r="BL20" i="1" s="1"/>
  <c r="BM20" i="1" s="1"/>
  <c r="BN20" i="1" s="1"/>
  <c r="BO20" i="1" s="1"/>
  <c r="BP20" i="1" s="1"/>
  <c r="BQ20" i="1" s="1"/>
  <c r="BL21" i="1" s="1"/>
  <c r="BM21" i="1" s="1"/>
  <c r="BN21" i="1" s="1"/>
  <c r="BO21" i="1" s="1"/>
  <c r="BP21" i="1" s="1"/>
  <c r="BQ21" i="1" s="1"/>
  <c r="BL22" i="1" s="1"/>
  <c r="BM22" i="1" s="1"/>
  <c r="BN22" i="1" s="1"/>
  <c r="BO22" i="1" s="1"/>
  <c r="BP22" i="1" s="1"/>
  <c r="BQ22" i="1" s="1"/>
  <c r="BL23" i="1" s="1"/>
  <c r="BM23" i="1" s="1"/>
  <c r="BN23" i="1" s="1"/>
  <c r="BO23" i="1" s="1"/>
  <c r="BP23" i="1" s="1"/>
  <c r="BQ23" i="1" s="1"/>
  <c r="BN5" i="1"/>
  <c r="F109" i="1"/>
  <c r="F110" i="1" s="1"/>
  <c r="AF49" i="1"/>
  <c r="AF43" i="1"/>
  <c r="W6" i="1"/>
  <c r="X42" i="1"/>
  <c r="X1" i="1"/>
  <c r="Y1" i="1"/>
  <c r="Z1" i="1"/>
  <c r="AA1" i="1"/>
  <c r="AB23" i="2"/>
  <c r="AB33" i="2"/>
  <c r="AN37" i="2" s="1"/>
  <c r="AE1" i="1"/>
  <c r="AD1" i="1"/>
  <c r="AC1" i="1"/>
  <c r="AB1" i="1"/>
  <c r="AF11" i="1"/>
  <c r="AF10" i="1"/>
  <c r="T45" i="1"/>
  <c r="T42" i="1"/>
  <c r="U42" i="1" s="1"/>
  <c r="T38" i="1"/>
  <c r="U38" i="1" s="1"/>
  <c r="AB42" i="1"/>
  <c r="AE12" i="1"/>
  <c r="AE11" i="1"/>
  <c r="AE10" i="1"/>
  <c r="Q314" i="1"/>
  <c r="Q315" i="1"/>
  <c r="Q316" i="1" s="1"/>
  <c r="Q317" i="1" s="1"/>
  <c r="Q318" i="1" s="1"/>
  <c r="Q319" i="1" s="1"/>
  <c r="Q320" i="1" s="1"/>
  <c r="Q321" i="1" s="1"/>
  <c r="Q322" i="1" s="1"/>
  <c r="Q323" i="1" s="1"/>
  <c r="Q324" i="1" s="1"/>
  <c r="Q325" i="1" s="1"/>
  <c r="Q326" i="1" s="1"/>
  <c r="Q327" i="1" s="1"/>
  <c r="Q328" i="1" s="1"/>
  <c r="Q329" i="1" s="1"/>
  <c r="Q330" i="1" s="1"/>
  <c r="Q331" i="1" s="1"/>
  <c r="Q332" i="1" s="1"/>
  <c r="Q333" i="1" s="1"/>
  <c r="Q334" i="1" s="1"/>
  <c r="Q335" i="1" s="1"/>
  <c r="Q336" i="1" s="1"/>
  <c r="Q337" i="1" s="1"/>
  <c r="Q338" i="1" s="1"/>
  <c r="Q339" i="1" s="1"/>
  <c r="Q340" i="1" s="1"/>
  <c r="Q341" i="1" s="1"/>
  <c r="Q342" i="1" s="1"/>
  <c r="Q343" i="1" s="1"/>
  <c r="Q344" i="1" s="1"/>
  <c r="Q345" i="1" s="1"/>
  <c r="Q346" i="1" s="1"/>
  <c r="Q347" i="1" s="1"/>
  <c r="Q348" i="1" s="1"/>
  <c r="Q349" i="1" s="1"/>
  <c r="Q350" i="1" s="1"/>
  <c r="Q351" i="1" s="1"/>
  <c r="Q352" i="1" s="1"/>
  <c r="Q353" i="1" s="1"/>
  <c r="Q354" i="1" s="1"/>
  <c r="Q355" i="1" s="1"/>
  <c r="Q356" i="1" s="1"/>
  <c r="Q357" i="1" s="1"/>
  <c r="Q358" i="1" s="1"/>
  <c r="Q359" i="1" s="1"/>
  <c r="Q360" i="1" s="1"/>
  <c r="Q361" i="1" s="1"/>
  <c r="Q362" i="1" s="1"/>
  <c r="Q363" i="1" s="1"/>
  <c r="Q364" i="1" s="1"/>
  <c r="Q365" i="1" s="1"/>
  <c r="Q366" i="1" s="1"/>
  <c r="Q367" i="1" s="1"/>
  <c r="Q368" i="1" s="1"/>
  <c r="Q369" i="1" s="1"/>
  <c r="Q370" i="1" s="1"/>
  <c r="Q371" i="1" s="1"/>
  <c r="Q372" i="1" s="1"/>
  <c r="Q373" i="1" s="1"/>
  <c r="Q374" i="1" s="1"/>
  <c r="Q375" i="1" s="1"/>
  <c r="Q376" i="1" s="1"/>
  <c r="Q377" i="1" s="1"/>
  <c r="Q378" i="1" s="1"/>
  <c r="Q379" i="1" s="1"/>
  <c r="Q380" i="1" s="1"/>
  <c r="Q381" i="1" s="1"/>
  <c r="Q382" i="1" s="1"/>
  <c r="Q383" i="1" s="1"/>
  <c r="Q384" i="1" s="1"/>
  <c r="Q385" i="1" s="1"/>
  <c r="Q386" i="1" s="1"/>
  <c r="Q387" i="1" s="1"/>
  <c r="Q388" i="1" s="1"/>
  <c r="Q389" i="1" s="1"/>
  <c r="Q390" i="1" s="1"/>
  <c r="Q391" i="1" s="1"/>
  <c r="Q392" i="1" s="1"/>
  <c r="Q393" i="1" s="1"/>
  <c r="Q394" i="1" s="1"/>
  <c r="Q395" i="1" s="1"/>
  <c r="Q396" i="1" s="1"/>
  <c r="Q397" i="1" s="1"/>
  <c r="Q398" i="1" s="1"/>
  <c r="Q399" i="1" s="1"/>
  <c r="Q400" i="1" s="1"/>
  <c r="Q401" i="1" s="1"/>
  <c r="Q402" i="1" s="1"/>
  <c r="Q403" i="1" s="1"/>
  <c r="Q404" i="1" s="1"/>
  <c r="Q405" i="1" s="1"/>
  <c r="Q406" i="1" s="1"/>
  <c r="Q407" i="1" s="1"/>
  <c r="Q408" i="1" s="1"/>
  <c r="Q409" i="1" s="1"/>
  <c r="Q410" i="1" s="1"/>
  <c r="Q411" i="1" s="1"/>
  <c r="Q412" i="1" s="1"/>
  <c r="Q413" i="1" s="1"/>
  <c r="Q414" i="1" s="1"/>
  <c r="Q415" i="1" s="1"/>
  <c r="Q416" i="1" s="1"/>
  <c r="Q417" i="1" s="1"/>
  <c r="Q418" i="1" s="1"/>
  <c r="Q419" i="1" s="1"/>
  <c r="Q420" i="1" s="1"/>
  <c r="Q421" i="1" s="1"/>
  <c r="Q422" i="1" s="1"/>
  <c r="Q423" i="1" s="1"/>
  <c r="Q424" i="1" s="1"/>
  <c r="Q425" i="1" s="1"/>
  <c r="Q426" i="1" s="1"/>
  <c r="Q427" i="1" s="1"/>
  <c r="Q428" i="1" s="1"/>
  <c r="Q429" i="1" s="1"/>
  <c r="Q430" i="1" s="1"/>
  <c r="Q431" i="1" s="1"/>
  <c r="Q432" i="1" s="1"/>
  <c r="H319" i="1"/>
  <c r="H314" i="1"/>
  <c r="I186" i="1"/>
  <c r="H285" i="1"/>
  <c r="AE5" i="1"/>
  <c r="R19" i="2"/>
  <c r="R18" i="2"/>
  <c r="N216" i="2"/>
  <c r="N217" i="2"/>
  <c r="N218" i="2" s="1"/>
  <c r="N219" i="2"/>
  <c r="N220" i="2" s="1"/>
  <c r="N221" i="2" s="1"/>
  <c r="N222" i="2" s="1"/>
  <c r="N223" i="2" s="1"/>
  <c r="N224" i="2" s="1"/>
  <c r="N225" i="2" s="1"/>
  <c r="N226" i="2" s="1"/>
  <c r="N227" i="2" s="1"/>
  <c r="N228" i="2" s="1"/>
  <c r="N229" i="2" s="1"/>
  <c r="N230" i="2" s="1"/>
  <c r="N231" i="2" s="1"/>
  <c r="N232" i="2" s="1"/>
  <c r="N233" i="2" s="1"/>
  <c r="N234" i="2" s="1"/>
  <c r="N235" i="2" s="1"/>
  <c r="N236" i="2" s="1"/>
  <c r="N237" i="2" s="1"/>
  <c r="N238" i="2" s="1"/>
  <c r="N239" i="2" s="1"/>
  <c r="N240" i="2" s="1"/>
  <c r="N241" i="2" s="1"/>
  <c r="N242" i="2" s="1"/>
  <c r="N243" i="2" s="1"/>
  <c r="N244" i="2" s="1"/>
  <c r="N245" i="2" s="1"/>
  <c r="N246" i="2" s="1"/>
  <c r="N247" i="2" s="1"/>
  <c r="N248" i="2" s="1"/>
  <c r="N249" i="2" s="1"/>
  <c r="N250" i="2" s="1"/>
  <c r="N251" i="2" s="1"/>
  <c r="N252" i="2" s="1"/>
  <c r="N253" i="2" s="1"/>
  <c r="N254" i="2" s="1"/>
  <c r="N255" i="2" s="1"/>
  <c r="N256" i="2" s="1"/>
  <c r="N257" i="2" s="1"/>
  <c r="N258" i="2" s="1"/>
  <c r="N259" i="2" s="1"/>
  <c r="N260" i="2" s="1"/>
  <c r="N261" i="2" s="1"/>
  <c r="N262" i="2" s="1"/>
  <c r="N263" i="2" s="1"/>
  <c r="N264" i="2" s="1"/>
  <c r="N265" i="2" s="1"/>
  <c r="N266" i="2" s="1"/>
  <c r="N267" i="2" s="1"/>
  <c r="N268" i="2" s="1"/>
  <c r="N269" i="2" s="1"/>
  <c r="N270" i="2" s="1"/>
  <c r="N271" i="2" s="1"/>
  <c r="N272" i="2" s="1"/>
  <c r="N273" i="2" s="1"/>
  <c r="N274" i="2" s="1"/>
  <c r="N275" i="2" s="1"/>
  <c r="N276" i="2" s="1"/>
  <c r="N277" i="2" s="1"/>
  <c r="N278" i="2" s="1"/>
  <c r="N279" i="2" s="1"/>
  <c r="N280" i="2" s="1"/>
  <c r="N281" i="2" s="1"/>
  <c r="N282" i="2" s="1"/>
  <c r="N283" i="2" s="1"/>
  <c r="N284" i="2" s="1"/>
  <c r="N285" i="2" s="1"/>
  <c r="N286" i="2" s="1"/>
  <c r="N287" i="2" s="1"/>
  <c r="N288" i="2" s="1"/>
  <c r="N289" i="2" s="1"/>
  <c r="N290" i="2" s="1"/>
  <c r="N291" i="2" s="1"/>
  <c r="N292" i="2" s="1"/>
  <c r="N293" i="2" s="1"/>
  <c r="N294" i="2" s="1"/>
  <c r="N295" i="2" s="1"/>
  <c r="N296" i="2" s="1"/>
  <c r="N297" i="2" s="1"/>
  <c r="N298" i="2" s="1"/>
  <c r="N299" i="2" s="1"/>
  <c r="N300" i="2" s="1"/>
  <c r="N301" i="2" s="1"/>
  <c r="N302" i="2" s="1"/>
  <c r="N303" i="2" s="1"/>
  <c r="N304" i="2" s="1"/>
  <c r="N305" i="2" s="1"/>
  <c r="N306" i="2" s="1"/>
  <c r="N307" i="2" s="1"/>
  <c r="N308" i="2" s="1"/>
  <c r="N309" i="2" s="1"/>
  <c r="N310" i="2" s="1"/>
  <c r="N311" i="2" s="1"/>
  <c r="N312" i="2" s="1"/>
  <c r="N313" i="2" s="1"/>
  <c r="N314" i="2" s="1"/>
  <c r="N315" i="2" s="1"/>
  <c r="N316" i="2" s="1"/>
  <c r="N317" i="2" s="1"/>
  <c r="N318" i="2" s="1"/>
  <c r="N319" i="2" s="1"/>
  <c r="N320" i="2" s="1"/>
  <c r="B229" i="2"/>
  <c r="C229" i="2" s="1"/>
  <c r="D229" i="2" s="1"/>
  <c r="C225" i="2"/>
  <c r="C216" i="2"/>
  <c r="J216" i="2"/>
  <c r="J217" i="2" s="1"/>
  <c r="J218" i="2" s="1"/>
  <c r="J219" i="2" s="1"/>
  <c r="J220" i="2" s="1"/>
  <c r="J221" i="2" s="1"/>
  <c r="J222" i="2" s="1"/>
  <c r="J223" i="2" s="1"/>
  <c r="J224" i="2" s="1"/>
  <c r="J225" i="2" s="1"/>
  <c r="J226" i="2" s="1"/>
  <c r="J227" i="2" s="1"/>
  <c r="J228" i="2" s="1"/>
  <c r="J229" i="2" s="1"/>
  <c r="J230" i="2" s="1"/>
  <c r="J231" i="2" s="1"/>
  <c r="J232" i="2" s="1"/>
  <c r="J233" i="2" s="1"/>
  <c r="J234" i="2" s="1"/>
  <c r="J235" i="2" s="1"/>
  <c r="J236" i="2" s="1"/>
  <c r="J237" i="2" s="1"/>
  <c r="J238" i="2" s="1"/>
  <c r="J239" i="2" s="1"/>
  <c r="J240" i="2" s="1"/>
  <c r="J241" i="2" s="1"/>
  <c r="J242" i="2" s="1"/>
  <c r="J243" i="2" s="1"/>
  <c r="J244" i="2" s="1"/>
  <c r="J245" i="2" s="1"/>
  <c r="J246" i="2" s="1"/>
  <c r="J247" i="2" s="1"/>
  <c r="J248" i="2" s="1"/>
  <c r="J249" i="2" s="1"/>
  <c r="J250" i="2" s="1"/>
  <c r="J251" i="2" s="1"/>
  <c r="J252" i="2" s="1"/>
  <c r="J253" i="2" s="1"/>
  <c r="J254" i="2" s="1"/>
  <c r="J255" i="2" s="1"/>
  <c r="J256" i="2" s="1"/>
  <c r="J257" i="2" s="1"/>
  <c r="J258" i="2" s="1"/>
  <c r="J259" i="2" s="1"/>
  <c r="J260" i="2" s="1"/>
  <c r="J261" i="2" s="1"/>
  <c r="J262" i="2" s="1"/>
  <c r="J263" i="2" s="1"/>
  <c r="J264" i="2" s="1"/>
  <c r="J265" i="2" s="1"/>
  <c r="J266" i="2" s="1"/>
  <c r="J267" i="2" s="1"/>
  <c r="J268" i="2" s="1"/>
  <c r="J269" i="2" s="1"/>
  <c r="J270" i="2" s="1"/>
  <c r="J271" i="2" s="1"/>
  <c r="J272" i="2" s="1"/>
  <c r="J273" i="2" s="1"/>
  <c r="J274" i="2" s="1"/>
  <c r="J275" i="2" s="1"/>
  <c r="J276" i="2" s="1"/>
  <c r="J277" i="2" s="1"/>
  <c r="J278" i="2" s="1"/>
  <c r="J279" i="2" s="1"/>
  <c r="J280" i="2" s="1"/>
  <c r="J281" i="2" s="1"/>
  <c r="J282" i="2" s="1"/>
  <c r="J283" i="2" s="1"/>
  <c r="J284" i="2" s="1"/>
  <c r="J285" i="2" s="1"/>
  <c r="J286" i="2" s="1"/>
  <c r="J287" i="2" s="1"/>
  <c r="J288" i="2" s="1"/>
  <c r="J289" i="2" s="1"/>
  <c r="J290" i="2" s="1"/>
  <c r="J291" i="2" s="1"/>
  <c r="J292" i="2" s="1"/>
  <c r="J293" i="2" s="1"/>
  <c r="J294" i="2" s="1"/>
  <c r="J295" i="2" s="1"/>
  <c r="J296" i="2" s="1"/>
  <c r="J297" i="2" s="1"/>
  <c r="J298" i="2" s="1"/>
  <c r="J299" i="2" s="1"/>
  <c r="J300" i="2" s="1"/>
  <c r="J301" i="2" s="1"/>
  <c r="J302" i="2" s="1"/>
  <c r="J303" i="2" s="1"/>
  <c r="J304" i="2" s="1"/>
  <c r="J305" i="2" s="1"/>
  <c r="J306" i="2" s="1"/>
  <c r="J307" i="2" s="1"/>
  <c r="J308" i="2" s="1"/>
  <c r="J309" i="2" s="1"/>
  <c r="J310" i="2" s="1"/>
  <c r="J311" i="2" s="1"/>
  <c r="J312" i="2" s="1"/>
  <c r="J313" i="2" s="1"/>
  <c r="J314" i="2" s="1"/>
  <c r="J315" i="2" s="1"/>
  <c r="J316" i="2" s="1"/>
  <c r="J317" i="2" s="1"/>
  <c r="J318" i="2" s="1"/>
  <c r="J319" i="2" s="1"/>
  <c r="J320" i="2" s="1"/>
  <c r="B221" i="2"/>
  <c r="B222" i="2" s="1"/>
  <c r="D216" i="2"/>
  <c r="B195" i="2"/>
  <c r="F190" i="2"/>
  <c r="D190" i="2"/>
  <c r="B183" i="2"/>
  <c r="B190" i="2"/>
  <c r="B188" i="2"/>
  <c r="F183" i="2"/>
  <c r="D183" i="2"/>
  <c r="B168" i="2"/>
  <c r="B162" i="2"/>
  <c r="B167" i="2"/>
  <c r="B161" i="2"/>
  <c r="AC29" i="2"/>
  <c r="AC26" i="2"/>
  <c r="AN30" i="2"/>
  <c r="AC30" i="2"/>
  <c r="AC32" i="2" s="1"/>
  <c r="K3" i="2"/>
  <c r="K10" i="2" s="1"/>
  <c r="C3" i="2"/>
  <c r="C10" i="2" s="1"/>
  <c r="AC23" i="2"/>
  <c r="AK88" i="1"/>
  <c r="AM88" i="1" s="1"/>
  <c r="H257" i="1"/>
  <c r="I253" i="1"/>
  <c r="H226" i="1"/>
  <c r="H220" i="1"/>
  <c r="H216" i="1"/>
  <c r="I178" i="1"/>
  <c r="I172" i="1"/>
  <c r="K168" i="1"/>
  <c r="K183" i="1" s="1"/>
  <c r="M165" i="1"/>
  <c r="K165" i="1"/>
  <c r="N165" i="1" s="1"/>
  <c r="O165" i="1" s="1"/>
  <c r="I165" i="1"/>
  <c r="V2" i="1"/>
  <c r="V9" i="1" s="1"/>
  <c r="M136" i="1"/>
  <c r="L136" i="1"/>
  <c r="K136" i="1"/>
  <c r="L127" i="1"/>
  <c r="B140" i="2"/>
  <c r="B139" i="2"/>
  <c r="B131" i="2"/>
  <c r="B130" i="2"/>
  <c r="E97" i="2"/>
  <c r="F97" i="2" s="1"/>
  <c r="F100" i="2" s="1"/>
  <c r="F101" i="2" s="1"/>
  <c r="D94" i="2"/>
  <c r="B109" i="2"/>
  <c r="B102" i="2"/>
  <c r="C13" i="3"/>
  <c r="E19" i="3"/>
  <c r="C19" i="3" s="1"/>
  <c r="E14" i="3"/>
  <c r="M16" i="3"/>
  <c r="J16" i="3" s="1"/>
  <c r="K13" i="3"/>
  <c r="M61" i="3" s="1"/>
  <c r="C11" i="3"/>
  <c r="T18" i="3"/>
  <c r="C10" i="3"/>
  <c r="D7" i="3"/>
  <c r="U16" i="3"/>
  <c r="T16" i="3"/>
  <c r="S16" i="3"/>
  <c r="T19" i="3"/>
  <c r="E104" i="2"/>
  <c r="F104" i="2"/>
  <c r="C107" i="2" s="1"/>
  <c r="C108" i="2" s="1"/>
  <c r="C109" i="2" s="1"/>
  <c r="D104" i="2"/>
  <c r="C104" i="2"/>
  <c r="B104" i="2"/>
  <c r="D97" i="2"/>
  <c r="C97" i="2"/>
  <c r="B97" i="2"/>
  <c r="L8" i="2"/>
  <c r="W34" i="2"/>
  <c r="AG9" i="2" s="1"/>
  <c r="E74" i="2"/>
  <c r="T20" i="3"/>
  <c r="S24" i="3"/>
  <c r="T24" i="3"/>
  <c r="T25" i="3" s="1"/>
  <c r="T26" i="3"/>
  <c r="M56" i="3"/>
  <c r="M36" i="3"/>
  <c r="M46" i="3"/>
  <c r="M31" i="3"/>
  <c r="M71" i="3"/>
  <c r="M41" i="3"/>
  <c r="S34" i="2"/>
  <c r="AG7" i="2"/>
  <c r="G183" i="2"/>
  <c r="H183" i="2"/>
  <c r="G186" i="2" s="1"/>
  <c r="G187" i="2" s="1"/>
  <c r="G188" i="2" s="1"/>
  <c r="F102" i="2"/>
  <c r="G100" i="2"/>
  <c r="G101" i="2" s="1"/>
  <c r="G102" i="2" s="1"/>
  <c r="C100" i="2"/>
  <c r="C101" i="2" s="1"/>
  <c r="C102" i="2" s="1"/>
  <c r="G190" i="2"/>
  <c r="H190" i="2"/>
  <c r="G193" i="2" s="1"/>
  <c r="G194" i="2" s="1"/>
  <c r="G195" i="2" s="1"/>
  <c r="E107" i="2"/>
  <c r="E108" i="2" s="1"/>
  <c r="E109" i="2" s="1"/>
  <c r="H107" i="2"/>
  <c r="H108" i="2"/>
  <c r="H109" i="2" s="1"/>
  <c r="F107" i="2"/>
  <c r="F108" i="2" s="1"/>
  <c r="F109" i="2" s="1"/>
  <c r="D107" i="2"/>
  <c r="D108" i="2"/>
  <c r="D109" i="2" s="1"/>
  <c r="I107" i="2"/>
  <c r="I108" i="2" s="1"/>
  <c r="I109" i="2" s="1"/>
  <c r="G107" i="2"/>
  <c r="G108" i="2"/>
  <c r="G109" i="2" s="1"/>
  <c r="H100" i="2"/>
  <c r="H101" i="2" s="1"/>
  <c r="H102" i="2" s="1"/>
  <c r="K74" i="2"/>
  <c r="V92" i="1"/>
  <c r="AC36" i="2"/>
  <c r="AB40" i="2"/>
  <c r="AC33" i="2"/>
  <c r="AC37" i="2"/>
  <c r="F186" i="2"/>
  <c r="F187" i="2" s="1"/>
  <c r="F188" i="2" s="1"/>
  <c r="D186" i="2"/>
  <c r="D187" i="2"/>
  <c r="D188" i="2" s="1"/>
  <c r="F193" i="2"/>
  <c r="F194" i="2" s="1"/>
  <c r="F195" i="2" s="1"/>
  <c r="T27" i="3"/>
  <c r="T31" i="3" s="1"/>
  <c r="I186" i="2"/>
  <c r="I187" i="2" s="1"/>
  <c r="I188" i="2" s="1"/>
  <c r="H186" i="2"/>
  <c r="H187" i="2"/>
  <c r="H188" i="2" s="1"/>
  <c r="E186" i="2"/>
  <c r="E187" i="2" s="1"/>
  <c r="E188" i="2" s="1"/>
  <c r="C186" i="2"/>
  <c r="C187" i="2"/>
  <c r="C188" i="2" s="1"/>
  <c r="E193" i="2"/>
  <c r="E194" i="2"/>
  <c r="E195" i="2" s="1"/>
  <c r="I193" i="2"/>
  <c r="I194" i="2" s="1"/>
  <c r="I195" i="2"/>
  <c r="H193" i="2"/>
  <c r="H194" i="2"/>
  <c r="H195" i="2" s="1"/>
  <c r="D193" i="2"/>
  <c r="D194" i="2" s="1"/>
  <c r="D195" i="2"/>
  <c r="C193" i="2"/>
  <c r="C194" i="2"/>
  <c r="C195" i="2" s="1"/>
  <c r="AC39" i="2"/>
  <c r="AN44" i="2"/>
  <c r="AC44" i="2"/>
  <c r="AB47" i="2"/>
  <c r="AC43" i="2"/>
  <c r="AC40" i="2"/>
  <c r="AC46" i="2"/>
  <c r="BD48" i="1"/>
  <c r="BE48" i="1" s="1"/>
  <c r="AC50" i="2"/>
  <c r="AC51" i="2"/>
  <c r="AN51" i="2"/>
  <c r="AC47" i="2"/>
  <c r="AB54" i="2"/>
  <c r="AC53" i="2"/>
  <c r="AC57" i="2"/>
  <c r="AN58" i="2"/>
  <c r="AC58" i="2"/>
  <c r="AC60" i="2" s="1"/>
  <c r="AC54" i="2"/>
  <c r="D7" i="2"/>
  <c r="W4" i="1"/>
  <c r="B9" i="10"/>
  <c r="D12" i="9"/>
  <c r="J37" i="10"/>
  <c r="J40" i="10"/>
  <c r="D5" i="9"/>
  <c r="D5" i="10"/>
  <c r="Y6" i="1"/>
  <c r="D5" i="2"/>
  <c r="AB52" i="1"/>
  <c r="C9" i="10"/>
  <c r="J36" i="10"/>
  <c r="W20" i="2"/>
  <c r="J38" i="10"/>
  <c r="AH49" i="1"/>
  <c r="AG43" i="1"/>
  <c r="AF46" i="1"/>
  <c r="V22" i="1"/>
  <c r="AG45" i="1"/>
  <c r="AC34" i="2"/>
  <c r="E28" i="5"/>
  <c r="AD24" i="2"/>
  <c r="X20" i="2"/>
  <c r="E26" i="5"/>
  <c r="AL37" i="2"/>
  <c r="S13" i="2"/>
  <c r="C13" i="2"/>
  <c r="AC24" i="2"/>
  <c r="AN19" i="1"/>
  <c r="L6" i="2"/>
  <c r="AG52" i="1"/>
  <c r="AF51" i="1"/>
  <c r="AC42" i="1"/>
  <c r="AD45" i="1"/>
  <c r="AH46" i="1"/>
  <c r="V24" i="1"/>
  <c r="AH51" i="1"/>
  <c r="AF47" i="1"/>
  <c r="AJ30" i="2"/>
  <c r="AF24" i="2"/>
  <c r="AC27" i="2"/>
  <c r="E30" i="5"/>
  <c r="E32" i="5"/>
  <c r="S12" i="2"/>
  <c r="AN27" i="2"/>
  <c r="S6" i="2"/>
  <c r="E27" i="5"/>
  <c r="D6" i="2"/>
  <c r="AG53" i="1"/>
  <c r="W5" i="1"/>
  <c r="AB44" i="1"/>
  <c r="AD44" i="1"/>
  <c r="W3" i="1"/>
  <c r="V26" i="1"/>
  <c r="AL27" i="2"/>
  <c r="U37" i="2"/>
  <c r="BE35" i="1"/>
  <c r="BE36" i="1"/>
  <c r="BD35" i="1"/>
  <c r="AD55" i="1"/>
  <c r="AF37" i="2"/>
  <c r="AD37" i="2"/>
  <c r="AB45" i="1"/>
  <c r="AC46" i="1"/>
  <c r="AC55" i="1"/>
  <c r="AB55" i="1"/>
  <c r="BF35" i="1"/>
  <c r="AC54" i="1"/>
  <c r="AD44" i="2"/>
  <c r="AJ44" i="2"/>
  <c r="AL44" i="2"/>
  <c r="D4" i="10"/>
  <c r="H4" i="10"/>
  <c r="D10" i="9"/>
  <c r="J35" i="10"/>
  <c r="L4" i="2"/>
  <c r="L5" i="2"/>
  <c r="H6" i="10"/>
  <c r="H5" i="10"/>
  <c r="AG51" i="1"/>
  <c r="AH47" i="1"/>
  <c r="AF45" i="1"/>
  <c r="L9" i="2"/>
  <c r="AJ37" i="2"/>
  <c r="AJ24" i="2"/>
  <c r="E25" i="5"/>
  <c r="AN23" i="1"/>
  <c r="AH53" i="1"/>
  <c r="AH45" i="1"/>
  <c r="AG46" i="1"/>
  <c r="E7" i="2"/>
  <c r="E8" i="2" s="1"/>
  <c r="B16" i="2" s="1"/>
  <c r="E24" i="5"/>
  <c r="E29" i="5"/>
  <c r="AL24" i="2"/>
  <c r="S7" i="2"/>
  <c r="AF52" i="1"/>
  <c r="AD46" i="1"/>
  <c r="AC6" i="1"/>
  <c r="AD34" i="2"/>
  <c r="AC56" i="1"/>
  <c r="AB54" i="1"/>
  <c r="AF34" i="2"/>
  <c r="AD27" i="2"/>
  <c r="AD56" i="1"/>
  <c r="AN41" i="2"/>
  <c r="AN48" i="2"/>
  <c r="AC41" i="2"/>
  <c r="AD41" i="2"/>
  <c r="AF41" i="2"/>
  <c r="AJ51" i="2"/>
  <c r="AL48" i="2"/>
  <c r="AJ58" i="2"/>
  <c r="AJ48" i="2"/>
  <c r="AD58" i="2"/>
  <c r="AL58" i="2"/>
  <c r="L6" i="10"/>
  <c r="D9" i="2"/>
  <c r="Y5" i="1"/>
  <c r="J39" i="10"/>
  <c r="D3" i="9"/>
  <c r="J41" i="10"/>
  <c r="D3" i="10"/>
  <c r="D4" i="2"/>
  <c r="W19" i="2"/>
  <c r="AG47" i="1"/>
  <c r="AF53" i="1"/>
  <c r="E31" i="5"/>
  <c r="AN24" i="2"/>
  <c r="K13" i="2"/>
  <c r="M7" i="2"/>
  <c r="M8" i="2" s="1"/>
  <c r="K16" i="2" s="1"/>
  <c r="AN34" i="2"/>
  <c r="AL34" i="2" s="1"/>
  <c r="AH52" i="1"/>
  <c r="AB46" i="1"/>
  <c r="AC5" i="1"/>
  <c r="AN27" i="1"/>
  <c r="AD30" i="2"/>
  <c r="AF30" i="2"/>
  <c r="L7" i="2"/>
  <c r="AL30" i="2"/>
  <c r="AN24" i="1"/>
  <c r="X4" i="1"/>
  <c r="V25" i="1"/>
  <c r="AJ27" i="2"/>
  <c r="H80" i="2"/>
  <c r="AC44" i="1"/>
  <c r="BD36" i="1"/>
  <c r="BF36" i="1"/>
  <c r="AF27" i="2"/>
  <c r="AJ34" i="2"/>
  <c r="AC45" i="1"/>
  <c r="AB56" i="1"/>
  <c r="AD54" i="1"/>
  <c r="AF44" i="2"/>
  <c r="AL51" i="2"/>
  <c r="E9" i="2"/>
  <c r="M9" i="2"/>
  <c r="AD51" i="2"/>
  <c r="AF51" i="2"/>
  <c r="AC48" i="2"/>
  <c r="AN55" i="2"/>
  <c r="AF48" i="2"/>
  <c r="AD48" i="2"/>
  <c r="AC55" i="2"/>
  <c r="AF58" i="2"/>
  <c r="AF55" i="2"/>
  <c r="J6" i="10"/>
  <c r="K6" i="10"/>
  <c r="AL41" i="2"/>
  <c r="AJ41" i="2"/>
  <c r="AJ55" i="2"/>
  <c r="AL55" i="2"/>
  <c r="D9" i="3"/>
  <c r="D8" i="3"/>
  <c r="D6" i="3"/>
  <c r="K6" i="3"/>
  <c r="U26" i="3"/>
  <c r="U19" i="3"/>
  <c r="K5" i="3"/>
  <c r="E6" i="3"/>
  <c r="E7" i="3" s="1"/>
  <c r="C16" i="3"/>
  <c r="C21" i="3"/>
  <c r="O36" i="3"/>
  <c r="O31" i="3"/>
  <c r="W17" i="3"/>
  <c r="C17" i="3"/>
  <c r="O56" i="3"/>
  <c r="O61" i="3"/>
  <c r="C22" i="3"/>
  <c r="O16" i="3"/>
  <c r="K19" i="3"/>
  <c r="O71" i="3"/>
  <c r="K74" i="3" s="1"/>
  <c r="K34" i="3"/>
  <c r="K39" i="3"/>
  <c r="O46" i="3"/>
  <c r="W24" i="3"/>
  <c r="O41" i="3"/>
  <c r="V30" i="1"/>
  <c r="V20" i="1"/>
  <c r="V19" i="1"/>
  <c r="V29" i="1"/>
  <c r="V41" i="1"/>
  <c r="Z11" i="1"/>
  <c r="Z85" i="1"/>
  <c r="Y46" i="1"/>
  <c r="AA11" i="1"/>
  <c r="Z6" i="1"/>
  <c r="X46" i="1"/>
  <c r="Z82" i="1"/>
  <c r="AM10" i="1"/>
  <c r="V28" i="1"/>
  <c r="V13" i="1"/>
  <c r="AA16" i="1"/>
  <c r="X19" i="1"/>
  <c r="X11" i="1"/>
  <c r="V91" i="1"/>
  <c r="AA4" i="1"/>
  <c r="Y16" i="1"/>
  <c r="AA6" i="1"/>
  <c r="V12" i="1"/>
  <c r="V18" i="1"/>
  <c r="V11" i="1"/>
  <c r="Z46" i="1"/>
  <c r="X44" i="1"/>
  <c r="Y25" i="1"/>
  <c r="V37" i="1"/>
  <c r="Z16" i="1"/>
  <c r="X16" i="1"/>
  <c r="Y44" i="1"/>
  <c r="Y45" i="1"/>
  <c r="Z84" i="1"/>
  <c r="Z83" i="1"/>
  <c r="Y24" i="1"/>
  <c r="V44" i="1"/>
  <c r="X45" i="1"/>
  <c r="Z45" i="1"/>
  <c r="Z44" i="1"/>
  <c r="C83" i="1"/>
  <c r="C221" i="2" l="1"/>
  <c r="C222" i="2" s="1"/>
  <c r="S26" i="3"/>
  <c r="BP5" i="1"/>
  <c r="AI188" i="1"/>
  <c r="T33" i="3"/>
  <c r="S31" i="3"/>
  <c r="T34" i="3"/>
  <c r="T32" i="3"/>
  <c r="S33" i="3" s="1"/>
  <c r="S19" i="3"/>
  <c r="E23" i="3"/>
  <c r="M26" i="3"/>
  <c r="M51" i="3"/>
  <c r="M66" i="3"/>
  <c r="M21" i="3"/>
  <c r="M76" i="3"/>
  <c r="AI110" i="1"/>
  <c r="BO5" i="1"/>
  <c r="O171" i="1"/>
  <c r="O172" i="1" s="1"/>
  <c r="L171" i="1"/>
  <c r="L172" i="1" s="1"/>
  <c r="AI116" i="1"/>
  <c r="AI152" i="1"/>
  <c r="N136" i="1"/>
  <c r="O136" i="1" s="1"/>
  <c r="I168" i="1"/>
  <c r="N168" i="1" s="1"/>
  <c r="O168" i="1" s="1"/>
  <c r="AI98" i="1"/>
  <c r="AL104" i="1" s="1"/>
  <c r="AI182" i="1"/>
  <c r="AI158" i="1"/>
  <c r="AI122" i="1"/>
  <c r="AI194" i="1"/>
  <c r="Y12" i="1"/>
  <c r="E115" i="1"/>
  <c r="O115" i="1"/>
  <c r="D115" i="1"/>
  <c r="H115" i="1"/>
  <c r="G115" i="1"/>
  <c r="D221" i="2"/>
  <c r="AM98" i="1"/>
  <c r="AJ194" i="1"/>
  <c r="AL110" i="1"/>
  <c r="AM152" i="1"/>
  <c r="AM140" i="1"/>
  <c r="AL128" i="1"/>
  <c r="AK194" i="1"/>
  <c r="AJ128" i="1"/>
  <c r="AM128" i="1"/>
  <c r="AR118" i="1"/>
  <c r="AR119" i="1" s="1"/>
  <c r="AI104" i="1"/>
  <c r="AI140" i="1"/>
  <c r="AI146" i="1"/>
  <c r="AI128" i="1"/>
  <c r="AI164" i="1"/>
  <c r="AI134" i="1"/>
  <c r="AI176" i="1"/>
  <c r="AI170" i="1"/>
  <c r="AI200" i="1"/>
  <c r="H320" i="1"/>
  <c r="K115" i="1"/>
  <c r="T115" i="1"/>
  <c r="U115" i="1"/>
  <c r="N115" i="1"/>
  <c r="Q115" i="1"/>
  <c r="B115" i="1"/>
  <c r="AB108" i="1"/>
  <c r="Z108" i="1"/>
  <c r="X108" i="1"/>
  <c r="AA108" i="1"/>
  <c r="I183" i="1"/>
  <c r="N183" i="1" s="1"/>
  <c r="O183" i="1" s="1"/>
  <c r="AA104" i="1"/>
  <c r="X104" i="1"/>
  <c r="AC104" i="1"/>
  <c r="AB104" i="1"/>
  <c r="W104" i="1"/>
  <c r="P171" i="1"/>
  <c r="P172" i="1" s="1"/>
  <c r="K171" i="1"/>
  <c r="K172" i="1" s="1"/>
  <c r="I319" i="1"/>
  <c r="I320" i="1" s="1"/>
  <c r="C230" i="2"/>
  <c r="K127" i="1"/>
  <c r="M127" i="1" s="1"/>
  <c r="N127" i="1" s="1"/>
  <c r="O130" i="1" s="1"/>
  <c r="O131" i="1" s="1"/>
  <c r="Y313" i="1"/>
  <c r="Z313" i="1" s="1"/>
  <c r="X316" i="1" s="1"/>
  <c r="AG427" i="1" s="1"/>
  <c r="AK89" i="1"/>
  <c r="AL89" i="1" s="1"/>
  <c r="AR125" i="1" s="1"/>
  <c r="AR126" i="1" s="1"/>
  <c r="AR122" i="1"/>
  <c r="K130" i="1"/>
  <c r="K131" i="1" s="1"/>
  <c r="AG343" i="1"/>
  <c r="J139" i="1"/>
  <c r="M139" i="1"/>
  <c r="M140" i="1" s="1"/>
  <c r="L139" i="1"/>
  <c r="L140" i="1" s="1"/>
  <c r="K139" i="1"/>
  <c r="K140" i="1" s="1"/>
  <c r="O139" i="1"/>
  <c r="O140" i="1" s="1"/>
  <c r="P139" i="1"/>
  <c r="P140" i="1" s="1"/>
  <c r="N139" i="1"/>
  <c r="N140" i="1" s="1"/>
  <c r="J171" i="1"/>
  <c r="N171" i="1"/>
  <c r="N172" i="1" s="1"/>
  <c r="M171" i="1"/>
  <c r="M172" i="1" s="1"/>
  <c r="AL88" i="1"/>
  <c r="AR120" i="1" s="1"/>
  <c r="AR121" i="1" s="1"/>
  <c r="W108" i="1"/>
  <c r="Z104" i="1"/>
  <c r="Y104" i="1"/>
  <c r="AC108" i="1"/>
  <c r="Y108" i="1"/>
  <c r="C115" i="1"/>
  <c r="S115" i="1"/>
  <c r="L115" i="1"/>
  <c r="J115" i="1"/>
  <c r="M115" i="1"/>
  <c r="W115" i="1"/>
  <c r="F115" i="1"/>
  <c r="V115" i="1"/>
  <c r="P115" i="1"/>
  <c r="R115" i="1"/>
  <c r="I115" i="1"/>
  <c r="D230" i="2"/>
  <c r="E229" i="2"/>
  <c r="B230" i="2"/>
  <c r="V14" i="2"/>
  <c r="S14" i="2"/>
  <c r="U14" i="2"/>
  <c r="W14" i="2"/>
  <c r="W8" i="2"/>
  <c r="S8" i="2"/>
  <c r="V8" i="2"/>
  <c r="U8" i="2"/>
  <c r="AP35" i="1"/>
  <c r="AM67" i="1" s="1"/>
  <c r="AQ35" i="1"/>
  <c r="AM82" i="1" s="1"/>
  <c r="AQ37" i="1"/>
  <c r="AM72" i="1" s="1"/>
  <c r="AO36" i="1"/>
  <c r="AM47" i="1" s="1"/>
  <c r="AO37" i="1"/>
  <c r="AM42" i="1" s="1"/>
  <c r="AP36" i="1"/>
  <c r="AM62" i="1" s="1"/>
  <c r="AQ36" i="1"/>
  <c r="AM77" i="1" s="1"/>
  <c r="AO35" i="1"/>
  <c r="AM52" i="1" s="1"/>
  <c r="AP37" i="1"/>
  <c r="AM57" i="1" s="1"/>
  <c r="AG11" i="2"/>
  <c r="T56" i="2"/>
  <c r="Z49" i="1"/>
  <c r="AM31" i="1" s="1"/>
  <c r="AM79" i="1" s="1"/>
  <c r="AM11" i="1"/>
  <c r="AM12" i="1" s="1"/>
  <c r="AM13" i="1" s="1"/>
  <c r="AM14" i="1" s="1"/>
  <c r="AM15" i="1" s="1"/>
  <c r="AM16" i="1" s="1"/>
  <c r="AI184" i="1"/>
  <c r="AI167" i="1"/>
  <c r="AI119" i="1"/>
  <c r="AI179" i="1"/>
  <c r="AI131" i="1"/>
  <c r="AI160" i="1"/>
  <c r="AI172" i="1"/>
  <c r="AI112" i="1"/>
  <c r="AI155" i="1"/>
  <c r="AI107" i="1"/>
  <c r="AI136" i="1"/>
  <c r="AI148" i="1"/>
  <c r="AI143" i="1"/>
  <c r="AI124" i="1"/>
  <c r="AI100" i="1"/>
  <c r="K40" i="1"/>
  <c r="AI196" i="1"/>
  <c r="AI191" i="1"/>
  <c r="AI203" i="1"/>
  <c r="K16" i="1"/>
  <c r="AK4" i="1"/>
  <c r="AI113" i="1"/>
  <c r="AI154" i="1"/>
  <c r="AI190" i="1"/>
  <c r="AI142" i="1"/>
  <c r="AI202" i="1"/>
  <c r="AI197" i="1"/>
  <c r="AI161" i="1"/>
  <c r="AI178" i="1"/>
  <c r="AI185" i="1"/>
  <c r="AI149" i="1"/>
  <c r="AI173" i="1"/>
  <c r="AI125" i="1"/>
  <c r="AI137" i="1"/>
  <c r="AI166" i="1"/>
  <c r="AI118" i="1"/>
  <c r="AI130" i="1"/>
  <c r="AI101" i="1"/>
  <c r="B68" i="1"/>
  <c r="V95" i="1"/>
  <c r="AI106" i="1"/>
  <c r="U68" i="1"/>
  <c r="F107" i="1"/>
  <c r="J43" i="1"/>
  <c r="K18" i="1"/>
  <c r="Z50" i="1"/>
  <c r="AM32" i="1" s="1"/>
  <c r="AM74" i="1" s="1"/>
  <c r="X51" i="1"/>
  <c r="AK33" i="1" s="1"/>
  <c r="AM39" i="1" s="1"/>
  <c r="Z19" i="1"/>
  <c r="X50" i="1"/>
  <c r="AK32" i="1" s="1"/>
  <c r="AM44" i="1" s="1"/>
  <c r="R42" i="2"/>
  <c r="J74" i="2"/>
  <c r="C92" i="1"/>
  <c r="C85" i="1"/>
  <c r="Z122" i="1" s="1"/>
  <c r="C89" i="1"/>
  <c r="Z126" i="1" s="1"/>
  <c r="C91" i="1"/>
  <c r="Z128" i="1" s="1"/>
  <c r="C88" i="1"/>
  <c r="Z125" i="1" s="1"/>
  <c r="C90" i="1"/>
  <c r="Z127" i="1" s="1"/>
  <c r="Z120" i="1"/>
  <c r="C84" i="1"/>
  <c r="Z121" i="1" s="1"/>
  <c r="C87" i="1"/>
  <c r="Z124" i="1" s="1"/>
  <c r="C86" i="1"/>
  <c r="Z123" i="1" s="1"/>
  <c r="I285" i="1"/>
  <c r="X47" i="1"/>
  <c r="AK5" i="1"/>
  <c r="AF29" i="1"/>
  <c r="AB31" i="1"/>
  <c r="Y31" i="1"/>
  <c r="Y27" i="1"/>
  <c r="Z27" i="1"/>
  <c r="AH28" i="1"/>
  <c r="Y30" i="1"/>
  <c r="Y29" i="1"/>
  <c r="V96" i="1"/>
  <c r="AD30" i="1"/>
  <c r="Y28" i="1"/>
  <c r="K20" i="1"/>
  <c r="X49" i="1"/>
  <c r="AK31" i="1" s="1"/>
  <c r="AM49" i="1" s="1"/>
  <c r="Y51" i="1"/>
  <c r="AL33" i="1" s="1"/>
  <c r="AM54" i="1" s="1"/>
  <c r="Y50" i="1"/>
  <c r="AL32" i="1" s="1"/>
  <c r="AM59" i="1" s="1"/>
  <c r="Z51" i="1"/>
  <c r="AM33" i="1" s="1"/>
  <c r="AM69" i="1" s="1"/>
  <c r="L16" i="1"/>
  <c r="W12" i="1"/>
  <c r="W11" i="1"/>
  <c r="W14" i="1"/>
  <c r="W13" i="1"/>
  <c r="AB47" i="1"/>
  <c r="Y49" i="1"/>
  <c r="AL31" i="1" s="1"/>
  <c r="AM64" i="1" s="1"/>
  <c r="D64" i="1"/>
  <c r="L40" i="1"/>
  <c r="X12" i="1"/>
  <c r="K14" i="1"/>
  <c r="AM6" i="1"/>
  <c r="I64" i="1"/>
  <c r="I40" i="1"/>
  <c r="D51" i="1" s="1"/>
  <c r="Z12" i="1"/>
  <c r="L14" i="1"/>
  <c r="O40" i="1"/>
  <c r="N51" i="1" s="1"/>
  <c r="M14" i="1"/>
  <c r="N64" i="1"/>
  <c r="AA12" i="1"/>
  <c r="Q65" i="2"/>
  <c r="B53" i="2"/>
  <c r="B44" i="2"/>
  <c r="B36" i="2"/>
  <c r="Q57" i="2"/>
  <c r="Q73" i="2"/>
  <c r="Q49" i="2"/>
  <c r="B28" i="2"/>
  <c r="H44" i="2"/>
  <c r="H36" i="2"/>
  <c r="H28" i="2"/>
  <c r="H53" i="2"/>
  <c r="W73" i="2"/>
  <c r="W49" i="2"/>
  <c r="W57" i="2"/>
  <c r="W65" i="2"/>
  <c r="L74" i="2"/>
  <c r="X41" i="2"/>
  <c r="Y19" i="2"/>
  <c r="Y20" i="2"/>
  <c r="M15" i="2"/>
  <c r="L18" i="2"/>
  <c r="P18" i="2"/>
  <c r="O18" i="2"/>
  <c r="M18" i="2"/>
  <c r="O15" i="2"/>
  <c r="L7" i="9"/>
  <c r="H7" i="9"/>
  <c r="D9" i="10"/>
  <c r="X36" i="2"/>
  <c r="F74" i="2"/>
  <c r="R36" i="2"/>
  <c r="D74" i="2"/>
  <c r="E100" i="2"/>
  <c r="E101" i="2" s="1"/>
  <c r="E102" i="2" s="1"/>
  <c r="I100" i="2"/>
  <c r="I101" i="2" s="1"/>
  <c r="I102" i="2" s="1"/>
  <c r="D100" i="2"/>
  <c r="BM27" i="1"/>
  <c r="BO26" i="1" s="1"/>
  <c r="AG315" i="1"/>
  <c r="AC316" i="1"/>
  <c r="AB316" i="1"/>
  <c r="Z316" i="1"/>
  <c r="AE315" i="1"/>
  <c r="AG406" i="1"/>
  <c r="AG364" i="1"/>
  <c r="AG385" i="1"/>
  <c r="AG420" i="1"/>
  <c r="C33" i="10"/>
  <c r="D33" i="10"/>
  <c r="F33" i="10"/>
  <c r="H33" i="10"/>
  <c r="E33" i="10"/>
  <c r="J10" i="10"/>
  <c r="AD55" i="2"/>
  <c r="Z19" i="2"/>
  <c r="E9" i="10"/>
  <c r="AH37" i="2"/>
  <c r="J15" i="2"/>
  <c r="L19" i="2"/>
  <c r="O19" i="2"/>
  <c r="I80" i="2"/>
  <c r="D15" i="2"/>
  <c r="B41" i="10"/>
  <c r="AI55" i="2"/>
  <c r="AI41" i="2"/>
  <c r="AH27" i="2"/>
  <c r="AI27" i="2"/>
  <c r="T13" i="2"/>
  <c r="U13" i="2"/>
  <c r="U12" i="2"/>
  <c r="AH24" i="2"/>
  <c r="L76" i="2"/>
  <c r="I4" i="10"/>
  <c r="W6" i="2"/>
  <c r="E72" i="2"/>
  <c r="U7" i="2"/>
  <c r="AI58" i="2"/>
  <c r="AH58" i="2"/>
  <c r="AH48" i="2"/>
  <c r="AH51" i="2"/>
  <c r="AH44" i="2"/>
  <c r="AI34" i="2"/>
  <c r="AH34" i="2"/>
  <c r="X19" i="2"/>
  <c r="Z20" i="2"/>
  <c r="AI51" i="2"/>
  <c r="AI44" i="2"/>
  <c r="J5" i="10"/>
  <c r="D14" i="9"/>
  <c r="T7" i="2"/>
  <c r="D16" i="2"/>
  <c r="AI48" i="2"/>
  <c r="AI37" i="2"/>
  <c r="T35" i="2"/>
  <c r="AN20" i="1"/>
  <c r="W44" i="2"/>
  <c r="T12" i="2"/>
  <c r="AH30" i="2"/>
  <c r="W13" i="2"/>
  <c r="I5" i="10"/>
  <c r="W7" i="2"/>
  <c r="T6" i="2"/>
  <c r="C12" i="2"/>
  <c r="L5" i="10"/>
  <c r="AH41" i="2"/>
  <c r="V35" i="2"/>
  <c r="K12" i="2"/>
  <c r="J16" i="2"/>
  <c r="AI24" i="2"/>
  <c r="W12" i="2"/>
  <c r="J4" i="10"/>
  <c r="F76" i="2"/>
  <c r="U6" i="2"/>
  <c r="S44" i="2"/>
  <c r="K72" i="2"/>
  <c r="AI30" i="2"/>
  <c r="AN25" i="1"/>
  <c r="G36" i="10"/>
  <c r="J2" i="9"/>
  <c r="L4" i="10"/>
  <c r="W31" i="3"/>
  <c r="U33" i="3"/>
  <c r="O6" i="3"/>
  <c r="O5" i="3"/>
  <c r="E8" i="3"/>
  <c r="M5" i="3"/>
  <c r="L6" i="3"/>
  <c r="L5" i="3"/>
  <c r="M6" i="3"/>
  <c r="K44" i="3"/>
  <c r="K64" i="3"/>
  <c r="C25" i="3"/>
  <c r="C26" i="3"/>
  <c r="O51" i="3"/>
  <c r="O21" i="3"/>
  <c r="K33" i="3"/>
  <c r="K18" i="3"/>
  <c r="E22" i="3"/>
  <c r="K73" i="3"/>
  <c r="K58" i="3"/>
  <c r="E21" i="3"/>
  <c r="K43" i="3"/>
  <c r="K49" i="3"/>
  <c r="K59" i="3"/>
  <c r="O26" i="3"/>
  <c r="O66" i="3"/>
  <c r="O76" i="3"/>
  <c r="K48" i="3"/>
  <c r="E17" i="3"/>
  <c r="K38" i="3"/>
  <c r="K63" i="3"/>
  <c r="E16" i="3"/>
  <c r="AE25" i="1"/>
  <c r="AE24" i="1"/>
  <c r="M16" i="1"/>
  <c r="Y19" i="1"/>
  <c r="Z60" i="1"/>
  <c r="Z63" i="1"/>
  <c r="Z75" i="1"/>
  <c r="BC33" i="1"/>
  <c r="BC34" i="1"/>
  <c r="AD49" i="1"/>
  <c r="AE60" i="1"/>
  <c r="BD33" i="1"/>
  <c r="BE34" i="1"/>
  <c r="AC49" i="1"/>
  <c r="AE65" i="1"/>
  <c r="AE77" i="1"/>
  <c r="BE32" i="1"/>
  <c r="AE59" i="1"/>
  <c r="AI126" i="1"/>
  <c r="V35" i="1"/>
  <c r="AI192" i="1"/>
  <c r="AA25" i="1"/>
  <c r="AI174" i="1"/>
  <c r="AI144" i="1"/>
  <c r="Z59" i="1"/>
  <c r="Z61" i="1"/>
  <c r="Z72" i="1"/>
  <c r="BB34" i="1"/>
  <c r="Z64" i="1"/>
  <c r="Z73" i="1"/>
  <c r="AE72" i="1"/>
  <c r="AE66" i="1"/>
  <c r="AE75" i="1"/>
  <c r="AE62" i="1"/>
  <c r="AE71" i="1"/>
  <c r="BD34" i="1"/>
  <c r="AE63" i="1"/>
  <c r="AB49" i="1"/>
  <c r="AE61" i="1"/>
  <c r="AI168" i="1"/>
  <c r="AJ198" i="1"/>
  <c r="AK198" i="1"/>
  <c r="AL132" i="1"/>
  <c r="AI186" i="1"/>
  <c r="AI162" i="1"/>
  <c r="AM144" i="1"/>
  <c r="Y8" i="1"/>
  <c r="J19" i="1"/>
  <c r="Z62" i="1"/>
  <c r="Z69" i="1"/>
  <c r="Z70" i="1"/>
  <c r="BB32" i="1"/>
  <c r="Z65" i="1"/>
  <c r="AC51" i="1"/>
  <c r="AE76" i="1"/>
  <c r="AE78" i="1"/>
  <c r="BD32" i="1"/>
  <c r="AC50" i="1"/>
  <c r="AB51" i="1"/>
  <c r="AE69" i="1"/>
  <c r="BE33" i="1"/>
  <c r="AI180" i="1"/>
  <c r="AL108" i="1"/>
  <c r="AI150" i="1"/>
  <c r="AI108" i="1"/>
  <c r="AI156" i="1"/>
  <c r="AL114" i="1"/>
  <c r="AM156" i="1"/>
  <c r="AM102" i="1"/>
  <c r="AI102" i="1"/>
  <c r="Y7" i="1"/>
  <c r="Z24" i="1"/>
  <c r="AI114" i="1"/>
  <c r="AM132" i="1"/>
  <c r="Z66" i="1"/>
  <c r="BC32" i="1"/>
  <c r="BB33" i="1"/>
  <c r="Z74" i="1"/>
  <c r="Z71" i="1"/>
  <c r="BF32" i="1"/>
  <c r="AD51" i="1"/>
  <c r="AD50" i="1"/>
  <c r="BF33" i="1"/>
  <c r="AE70" i="1"/>
  <c r="AB50" i="1"/>
  <c r="BF34" i="1"/>
  <c r="AE64" i="1"/>
  <c r="AA19" i="1"/>
  <c r="AI120" i="1"/>
  <c r="AI138" i="1"/>
  <c r="L8" i="1"/>
  <c r="AI204" i="1"/>
  <c r="AA24" i="1"/>
  <c r="AB19" i="1"/>
  <c r="Z25" i="1"/>
  <c r="AJ132" i="1"/>
  <c r="AI198" i="1"/>
  <c r="V32" i="1"/>
  <c r="AI132" i="1"/>
  <c r="Y4" i="1"/>
  <c r="AE26" i="1"/>
  <c r="O44" i="1"/>
  <c r="AC26" i="1"/>
  <c r="AA26" i="1"/>
  <c r="I36" i="1"/>
  <c r="Y26" i="1"/>
  <c r="O36" i="1"/>
  <c r="K54" i="3"/>
  <c r="K24" i="3"/>
  <c r="K29" i="3"/>
  <c r="K69" i="3"/>
  <c r="K79" i="3"/>
  <c r="S37" i="3"/>
  <c r="S23" i="3"/>
  <c r="Q114" i="1"/>
  <c r="P114" i="1"/>
  <c r="S114" i="1"/>
  <c r="E114" i="1"/>
  <c r="F114" i="1"/>
  <c r="U114" i="1"/>
  <c r="K114" i="1"/>
  <c r="N114" i="1"/>
  <c r="M114" i="1"/>
  <c r="G114" i="1"/>
  <c r="I114" i="1"/>
  <c r="S30" i="3"/>
  <c r="W114" i="1"/>
  <c r="R114" i="1"/>
  <c r="O114" i="1"/>
  <c r="D114" i="1"/>
  <c r="T114" i="1"/>
  <c r="C114" i="1"/>
  <c r="H114" i="1"/>
  <c r="L114" i="1"/>
  <c r="S22" i="3"/>
  <c r="J114" i="1"/>
  <c r="V114" i="1"/>
  <c r="D83" i="1"/>
  <c r="B114" i="1"/>
  <c r="S29" i="3"/>
  <c r="S36" i="3"/>
  <c r="AM89" i="1" l="1"/>
  <c r="AM176" i="1"/>
  <c r="AL134" i="1"/>
  <c r="AJ182" i="1"/>
  <c r="AL176" i="1"/>
  <c r="AM188" i="1"/>
  <c r="AM194" i="1"/>
  <c r="AJ140" i="1"/>
  <c r="AL158" i="1"/>
  <c r="AG322" i="1"/>
  <c r="AG392" i="1"/>
  <c r="AG371" i="1"/>
  <c r="AG413" i="1"/>
  <c r="AG399" i="1"/>
  <c r="Y316" i="1"/>
  <c r="W316" i="1"/>
  <c r="AA316" i="1"/>
  <c r="AG357" i="1"/>
  <c r="AG336" i="1"/>
  <c r="AG329" i="1"/>
  <c r="S38" i="3"/>
  <c r="T38" i="3"/>
  <c r="T40" i="3"/>
  <c r="O7" i="3"/>
  <c r="K7" i="3"/>
  <c r="M7" i="3"/>
  <c r="N7" i="3"/>
  <c r="C23" i="3"/>
  <c r="E27" i="3"/>
  <c r="AG378" i="1"/>
  <c r="AG350" i="1"/>
  <c r="K54" i="1"/>
  <c r="L54" i="1"/>
  <c r="P40" i="1"/>
  <c r="N63" i="1" s="1"/>
  <c r="K67" i="1"/>
  <c r="H40" i="1"/>
  <c r="D63" i="1" s="1"/>
  <c r="F54" i="1"/>
  <c r="F67" i="1"/>
  <c r="G67" i="1" s="1"/>
  <c r="L33" i="1"/>
  <c r="P67" i="1"/>
  <c r="L47" i="1"/>
  <c r="P54" i="1"/>
  <c r="Q54" i="1"/>
  <c r="Z4" i="1"/>
  <c r="AL98" i="1"/>
  <c r="AJ200" i="1"/>
  <c r="AJ158" i="1"/>
  <c r="AK110" i="1"/>
  <c r="AK134" i="1"/>
  <c r="AK188" i="1"/>
  <c r="AJ134" i="1"/>
  <c r="AM182" i="1"/>
  <c r="AM134" i="1"/>
  <c r="AJ110" i="1"/>
  <c r="AJ170" i="1"/>
  <c r="AJ116" i="1"/>
  <c r="AJ176" i="1"/>
  <c r="AK146" i="1"/>
  <c r="AM110" i="1"/>
  <c r="AJ152" i="1"/>
  <c r="AM122" i="1"/>
  <c r="AM104" i="1"/>
  <c r="AJ98" i="1"/>
  <c r="AL170" i="1"/>
  <c r="AL122" i="1"/>
  <c r="AM146" i="1"/>
  <c r="AM200" i="1"/>
  <c r="AL146" i="1"/>
  <c r="AJ188" i="1"/>
  <c r="AK170" i="1"/>
  <c r="AK122" i="1"/>
  <c r="AL182" i="1"/>
  <c r="AK128" i="1"/>
  <c r="AL188" i="1"/>
  <c r="AL200" i="1"/>
  <c r="AM170" i="1"/>
  <c r="AM164" i="1"/>
  <c r="AM116" i="1"/>
  <c r="AL164" i="1"/>
  <c r="AK104" i="1"/>
  <c r="J130" i="1"/>
  <c r="AK98" i="1"/>
  <c r="AK164" i="1"/>
  <c r="AL116" i="1"/>
  <c r="AL140" i="1"/>
  <c r="AL194" i="1"/>
  <c r="AK140" i="1"/>
  <c r="AM158" i="1"/>
  <c r="AJ164" i="1"/>
  <c r="AK116" i="1"/>
  <c r="AK176" i="1"/>
  <c r="AJ122" i="1"/>
  <c r="AK182" i="1"/>
  <c r="AL152" i="1"/>
  <c r="AK152" i="1"/>
  <c r="AK200" i="1"/>
  <c r="AK158" i="1"/>
  <c r="AJ146" i="1"/>
  <c r="AJ104" i="1"/>
  <c r="AR123" i="1"/>
  <c r="AR124" i="1" s="1"/>
  <c r="N130" i="1"/>
  <c r="N131" i="1" s="1"/>
  <c r="P130" i="1"/>
  <c r="P131" i="1" s="1"/>
  <c r="D222" i="2"/>
  <c r="E221" i="2"/>
  <c r="J177" i="1"/>
  <c r="P177" i="1"/>
  <c r="P178" i="1" s="1"/>
  <c r="O177" i="1"/>
  <c r="O178" i="1" s="1"/>
  <c r="N177" i="1"/>
  <c r="N178" i="1" s="1"/>
  <c r="M177" i="1"/>
  <c r="M178" i="1" s="1"/>
  <c r="L177" i="1"/>
  <c r="L178" i="1" s="1"/>
  <c r="K177" i="1"/>
  <c r="K178" i="1" s="1"/>
  <c r="J319" i="1"/>
  <c r="K319" i="1" s="1"/>
  <c r="M130" i="1"/>
  <c r="M131" i="1" s="1"/>
  <c r="L130" i="1"/>
  <c r="L131" i="1" s="1"/>
  <c r="O185" i="1"/>
  <c r="O186" i="1" s="1"/>
  <c r="L185" i="1"/>
  <c r="L186" i="1" s="1"/>
  <c r="K185" i="1"/>
  <c r="K186" i="1" s="1"/>
  <c r="P185" i="1"/>
  <c r="P186" i="1" s="1"/>
  <c r="N185" i="1"/>
  <c r="N186" i="1" s="1"/>
  <c r="J185" i="1"/>
  <c r="J186" i="1" s="1"/>
  <c r="M185" i="1"/>
  <c r="M186" i="1" s="1"/>
  <c r="J320" i="1"/>
  <c r="J172" i="1"/>
  <c r="P165" i="1"/>
  <c r="J140" i="1"/>
  <c r="P136" i="1"/>
  <c r="J131" i="1"/>
  <c r="BD43" i="1"/>
  <c r="BE43" i="1" s="1"/>
  <c r="AO31" i="1"/>
  <c r="AM50" i="1" s="1"/>
  <c r="AO33" i="1"/>
  <c r="AM40" i="1" s="1"/>
  <c r="AO32" i="1"/>
  <c r="AM45" i="1" s="1"/>
  <c r="BD59" i="1"/>
  <c r="BE59" i="1" s="1"/>
  <c r="AP32" i="1"/>
  <c r="AM60" i="1" s="1"/>
  <c r="AP31" i="1"/>
  <c r="AM65" i="1" s="1"/>
  <c r="BD42" i="1"/>
  <c r="BE42" i="1" s="1"/>
  <c r="BD60" i="1"/>
  <c r="BE60" i="1" s="1"/>
  <c r="AQ32" i="1"/>
  <c r="AM75" i="1" s="1"/>
  <c r="AQ33" i="1"/>
  <c r="AM70" i="1" s="1"/>
  <c r="AP33" i="1"/>
  <c r="AM55" i="1" s="1"/>
  <c r="BD44" i="1"/>
  <c r="BE44" i="1" s="1"/>
  <c r="AQ31" i="1"/>
  <c r="AM80" i="1" s="1"/>
  <c r="V22" i="2"/>
  <c r="R22" i="2"/>
  <c r="BD58" i="1"/>
  <c r="BE58" i="1" s="1"/>
  <c r="BD45" i="1"/>
  <c r="BE45" i="1" s="1"/>
  <c r="BD57" i="1"/>
  <c r="BE57" i="1" s="1"/>
  <c r="BD51" i="1"/>
  <c r="BE51" i="1" s="1"/>
  <c r="BD47" i="1"/>
  <c r="BE47" i="1" s="1"/>
  <c r="BD46" i="1"/>
  <c r="BE46" i="1" s="1"/>
  <c r="X52" i="1"/>
  <c r="E230" i="2"/>
  <c r="F229" i="2"/>
  <c r="AR127" i="1"/>
  <c r="AK90" i="1"/>
  <c r="AG14" i="2"/>
  <c r="AM4" i="1"/>
  <c r="M18" i="1"/>
  <c r="AJ119" i="1"/>
  <c r="AJ203" i="1"/>
  <c r="AJ196" i="1"/>
  <c r="AJ148" i="1"/>
  <c r="AJ160" i="1"/>
  <c r="AJ112" i="1"/>
  <c r="AJ136" i="1"/>
  <c r="AJ167" i="1"/>
  <c r="AJ107" i="1"/>
  <c r="AJ100" i="1"/>
  <c r="AJ191" i="1"/>
  <c r="AJ172" i="1"/>
  <c r="AJ179" i="1"/>
  <c r="AJ131" i="1"/>
  <c r="AJ143" i="1"/>
  <c r="AJ155" i="1"/>
  <c r="AJ124" i="1"/>
  <c r="AJ184" i="1"/>
  <c r="Z39" i="1"/>
  <c r="L38" i="1"/>
  <c r="Z35" i="1"/>
  <c r="Y30" i="2"/>
  <c r="J76" i="2"/>
  <c r="H27" i="2"/>
  <c r="W48" i="2"/>
  <c r="J78" i="2"/>
  <c r="W72" i="2"/>
  <c r="W64" i="2"/>
  <c r="Y31" i="2"/>
  <c r="H52" i="2"/>
  <c r="W56" i="2"/>
  <c r="H35" i="2"/>
  <c r="H43" i="2"/>
  <c r="AH8" i="2"/>
  <c r="T58" i="2"/>
  <c r="Q58" i="2"/>
  <c r="B29" i="2"/>
  <c r="Q66" i="2"/>
  <c r="Q74" i="2"/>
  <c r="Q50" i="2"/>
  <c r="B54" i="2"/>
  <c r="B37" i="2"/>
  <c r="B45" i="2"/>
  <c r="Q56" i="2"/>
  <c r="B43" i="2"/>
  <c r="B27" i="2"/>
  <c r="B52" i="2"/>
  <c r="D78" i="2"/>
  <c r="Q48" i="2"/>
  <c r="B35" i="2"/>
  <c r="S31" i="2"/>
  <c r="Q64" i="2"/>
  <c r="Q72" i="2"/>
  <c r="Q76" i="2"/>
  <c r="Q60" i="2"/>
  <c r="Q52" i="2"/>
  <c r="B39" i="2"/>
  <c r="B56" i="2"/>
  <c r="B47" i="2"/>
  <c r="Q68" i="2"/>
  <c r="B31" i="2"/>
  <c r="W52" i="2"/>
  <c r="H31" i="2"/>
  <c r="W60" i="2"/>
  <c r="H39" i="2"/>
  <c r="W76" i="2"/>
  <c r="H56" i="2"/>
  <c r="H47" i="2"/>
  <c r="W68" i="2"/>
  <c r="AN4" i="1"/>
  <c r="AL137" i="1"/>
  <c r="AL178" i="1"/>
  <c r="AL130" i="1"/>
  <c r="AL197" i="1"/>
  <c r="AL149" i="1"/>
  <c r="AL190" i="1"/>
  <c r="AL142" i="1"/>
  <c r="AL185" i="1"/>
  <c r="AL106" i="1"/>
  <c r="AL101" i="1"/>
  <c r="P68" i="1"/>
  <c r="Q68" i="1" s="1"/>
  <c r="AB29" i="1"/>
  <c r="AF27" i="1"/>
  <c r="AE28" i="1"/>
  <c r="AE27" i="1"/>
  <c r="AE31" i="1"/>
  <c r="N43" i="1"/>
  <c r="P55" i="1" s="1"/>
  <c r="Q55" i="1" s="1"/>
  <c r="AL202" i="1"/>
  <c r="AL154" i="1"/>
  <c r="AL161" i="1"/>
  <c r="AL173" i="1"/>
  <c r="AL125" i="1"/>
  <c r="AL166" i="1"/>
  <c r="AL118" i="1"/>
  <c r="AL113" i="1"/>
  <c r="AD28" i="1"/>
  <c r="Z30" i="1"/>
  <c r="AE30" i="1"/>
  <c r="V100" i="1"/>
  <c r="AH31" i="1"/>
  <c r="AE29" i="1"/>
  <c r="Y39" i="1"/>
  <c r="Y35" i="1"/>
  <c r="AD35" i="1"/>
  <c r="J285" i="1"/>
  <c r="L285" i="1" s="1"/>
  <c r="M285" i="1" s="1"/>
  <c r="AJ190" i="1"/>
  <c r="AJ142" i="1"/>
  <c r="AJ149" i="1"/>
  <c r="AJ185" i="1"/>
  <c r="AJ137" i="1"/>
  <c r="AJ166" i="1"/>
  <c r="AJ118" i="1"/>
  <c r="AJ130" i="1"/>
  <c r="AF30" i="1"/>
  <c r="AB27" i="1"/>
  <c r="AA29" i="1"/>
  <c r="AA31" i="1"/>
  <c r="J37" i="1"/>
  <c r="F55" i="1" s="1"/>
  <c r="G55" i="1" s="1"/>
  <c r="AJ173" i="1"/>
  <c r="AJ125" i="1"/>
  <c r="AJ202" i="1"/>
  <c r="AJ197" i="1"/>
  <c r="AJ178" i="1"/>
  <c r="AH29" i="1"/>
  <c r="AA28" i="1"/>
  <c r="AA27" i="1"/>
  <c r="V98" i="1"/>
  <c r="AJ154" i="1"/>
  <c r="AJ161" i="1"/>
  <c r="AJ113" i="1"/>
  <c r="AJ106" i="1"/>
  <c r="AJ101" i="1"/>
  <c r="F68" i="1"/>
  <c r="G68" i="1" s="1"/>
  <c r="AD31" i="1"/>
  <c r="Z28" i="1"/>
  <c r="AD39" i="1" s="1"/>
  <c r="AA30" i="1"/>
  <c r="W74" i="2"/>
  <c r="H37" i="2"/>
  <c r="W58" i="2"/>
  <c r="W66" i="2"/>
  <c r="H54" i="2"/>
  <c r="H45" i="2"/>
  <c r="H29" i="2"/>
  <c r="W50" i="2"/>
  <c r="AG16" i="2"/>
  <c r="AF8" i="2"/>
  <c r="T57" i="2"/>
  <c r="D76" i="2"/>
  <c r="S30" i="2"/>
  <c r="F78" i="2"/>
  <c r="AL203" i="1"/>
  <c r="AL155" i="1"/>
  <c r="AL143" i="1"/>
  <c r="AL172" i="1"/>
  <c r="AL167" i="1"/>
  <c r="AL196" i="1"/>
  <c r="AL191" i="1"/>
  <c r="AL184" i="1"/>
  <c r="AB39" i="1"/>
  <c r="AB35" i="1"/>
  <c r="L42" i="1"/>
  <c r="AL179" i="1"/>
  <c r="AL131" i="1"/>
  <c r="AL136" i="1"/>
  <c r="AL124" i="1"/>
  <c r="AL160" i="1"/>
  <c r="AL148" i="1"/>
  <c r="AL119" i="1"/>
  <c r="AL112" i="1"/>
  <c r="AL107" i="1"/>
  <c r="AL100" i="1"/>
  <c r="D84" i="1"/>
  <c r="AA120" i="1"/>
  <c r="AB120" i="1" s="1"/>
  <c r="L78" i="2"/>
  <c r="AG408" i="1"/>
  <c r="AG387" i="1"/>
  <c r="AG373" i="1"/>
  <c r="AG429" i="1"/>
  <c r="AG324" i="1"/>
  <c r="AG366" i="1"/>
  <c r="AG345" i="1"/>
  <c r="AG422" i="1"/>
  <c r="AG359" i="1"/>
  <c r="AG415" i="1"/>
  <c r="AG352" i="1"/>
  <c r="AG394" i="1"/>
  <c r="AG317" i="1"/>
  <c r="AG380" i="1"/>
  <c r="AG401" i="1"/>
  <c r="AG331" i="1"/>
  <c r="AG338" i="1"/>
  <c r="AG431" i="1"/>
  <c r="AG389" i="1"/>
  <c r="AG319" i="1"/>
  <c r="AG396" i="1"/>
  <c r="AG361" i="1"/>
  <c r="AG354" i="1"/>
  <c r="AG368" i="1"/>
  <c r="AG424" i="1"/>
  <c r="AG333" i="1"/>
  <c r="AG410" i="1"/>
  <c r="AG375" i="1"/>
  <c r="AG340" i="1"/>
  <c r="AG417" i="1"/>
  <c r="AG403" i="1"/>
  <c r="AG326" i="1"/>
  <c r="AG382" i="1"/>
  <c r="AG347" i="1"/>
  <c r="BP26" i="1"/>
  <c r="Y37" i="1" s="1"/>
  <c r="BO27" i="1"/>
  <c r="Y34" i="1"/>
  <c r="AK7" i="2"/>
  <c r="N59" i="1"/>
  <c r="U55" i="1"/>
  <c r="B55" i="1"/>
  <c r="I63" i="1"/>
  <c r="K66" i="1" s="1"/>
  <c r="I50" i="1"/>
  <c r="K53" i="1" s="1"/>
  <c r="Q33" i="10"/>
  <c r="P33" i="10"/>
  <c r="L33" i="10"/>
  <c r="R33" i="10"/>
  <c r="C12" i="10"/>
  <c r="M33" i="10"/>
  <c r="O33" i="10"/>
  <c r="N33" i="10"/>
  <c r="J31" i="10"/>
  <c r="J27" i="10"/>
  <c r="AG330" i="1"/>
  <c r="AG400" i="1"/>
  <c r="AG421" i="1"/>
  <c r="AG414" i="1"/>
  <c r="AG393" i="1"/>
  <c r="AG323" i="1"/>
  <c r="AG379" i="1"/>
  <c r="AG428" i="1"/>
  <c r="AG358" i="1"/>
  <c r="AG337" i="1"/>
  <c r="AG351" i="1"/>
  <c r="AG407" i="1"/>
  <c r="AG316" i="1"/>
  <c r="AG372" i="1"/>
  <c r="AG365" i="1"/>
  <c r="AG386" i="1"/>
  <c r="AG344" i="1"/>
  <c r="AG377" i="1"/>
  <c r="AG356" i="1"/>
  <c r="AG321" i="1"/>
  <c r="AG419" i="1"/>
  <c r="AG398" i="1"/>
  <c r="AG412" i="1"/>
  <c r="AG342" i="1"/>
  <c r="AG426" i="1"/>
  <c r="AG335" i="1"/>
  <c r="AG314" i="1"/>
  <c r="AG391" i="1"/>
  <c r="AG405" i="1"/>
  <c r="AG349" i="1"/>
  <c r="AG370" i="1"/>
  <c r="AG363" i="1"/>
  <c r="AG328" i="1"/>
  <c r="AG384" i="1"/>
  <c r="AG353" i="1"/>
  <c r="AG395" i="1"/>
  <c r="AG325" i="1"/>
  <c r="AG346" i="1"/>
  <c r="AG416" i="1"/>
  <c r="AG360" i="1"/>
  <c r="AG381" i="1"/>
  <c r="AG430" i="1"/>
  <c r="AG423" i="1"/>
  <c r="AG388" i="1"/>
  <c r="AG374" i="1"/>
  <c r="AG318" i="1"/>
  <c r="AG402" i="1"/>
  <c r="AG409" i="1"/>
  <c r="AG332" i="1"/>
  <c r="AG367" i="1"/>
  <c r="AG339" i="1"/>
  <c r="D101" i="2"/>
  <c r="D102" i="2" s="1"/>
  <c r="H97" i="2"/>
  <c r="AC7" i="2"/>
  <c r="X57" i="2"/>
  <c r="R57" i="2"/>
  <c r="I72" i="1"/>
  <c r="AC9" i="2"/>
  <c r="G54" i="1"/>
  <c r="D50" i="1"/>
  <c r="F53" i="1" s="1"/>
  <c r="L67" i="1"/>
  <c r="L66" i="1" s="1"/>
  <c r="S50" i="1"/>
  <c r="Q53" i="1" s="1"/>
  <c r="S63" i="1"/>
  <c r="U67" i="1"/>
  <c r="Q67" i="1"/>
  <c r="P66" i="1"/>
  <c r="J29" i="10"/>
  <c r="AE316" i="1"/>
  <c r="AE317" i="1" s="1"/>
  <c r="AE318" i="1" s="1"/>
  <c r="AE319" i="1" s="1"/>
  <c r="AE320" i="1" s="1"/>
  <c r="AE321" i="1" s="1"/>
  <c r="AE322" i="1" s="1"/>
  <c r="AE323" i="1" s="1"/>
  <c r="AE324" i="1" s="1"/>
  <c r="AE325" i="1" s="1"/>
  <c r="AE326" i="1" s="1"/>
  <c r="AE327" i="1" s="1"/>
  <c r="AE328" i="1" s="1"/>
  <c r="AE329" i="1" s="1"/>
  <c r="AE330" i="1" s="1"/>
  <c r="AE331" i="1" s="1"/>
  <c r="AE332" i="1" s="1"/>
  <c r="AE333" i="1" s="1"/>
  <c r="AE334" i="1" s="1"/>
  <c r="AE335" i="1" s="1"/>
  <c r="AE336" i="1" s="1"/>
  <c r="AE337" i="1" s="1"/>
  <c r="AE338" i="1" s="1"/>
  <c r="AE339" i="1" s="1"/>
  <c r="AE340" i="1" s="1"/>
  <c r="AE341" i="1" s="1"/>
  <c r="AE342" i="1" s="1"/>
  <c r="AE343" i="1" s="1"/>
  <c r="AE344" i="1" s="1"/>
  <c r="AE345" i="1" s="1"/>
  <c r="AE346" i="1" s="1"/>
  <c r="AE347" i="1" s="1"/>
  <c r="AE348" i="1" s="1"/>
  <c r="AE349" i="1" s="1"/>
  <c r="AE350" i="1" s="1"/>
  <c r="AE351" i="1" s="1"/>
  <c r="AE352" i="1" s="1"/>
  <c r="AE353" i="1" s="1"/>
  <c r="AE354" i="1" s="1"/>
  <c r="AE355" i="1" s="1"/>
  <c r="AE356" i="1" s="1"/>
  <c r="AE357" i="1" s="1"/>
  <c r="AE358" i="1" s="1"/>
  <c r="AE359" i="1" s="1"/>
  <c r="AE360" i="1" s="1"/>
  <c r="AE361" i="1" s="1"/>
  <c r="AE362" i="1" s="1"/>
  <c r="AE363" i="1" s="1"/>
  <c r="AE364" i="1" s="1"/>
  <c r="AE365" i="1" s="1"/>
  <c r="AE366" i="1" s="1"/>
  <c r="AE367" i="1" s="1"/>
  <c r="AE368" i="1" s="1"/>
  <c r="AE369" i="1" s="1"/>
  <c r="AE370" i="1" s="1"/>
  <c r="AE371" i="1" s="1"/>
  <c r="AE372" i="1" s="1"/>
  <c r="AE373" i="1" s="1"/>
  <c r="AE374" i="1" s="1"/>
  <c r="AE375" i="1" s="1"/>
  <c r="AE376" i="1" s="1"/>
  <c r="AE377" i="1" s="1"/>
  <c r="AE378" i="1" s="1"/>
  <c r="AE379" i="1" s="1"/>
  <c r="AE380" i="1" s="1"/>
  <c r="AE381" i="1" s="1"/>
  <c r="AE382" i="1" s="1"/>
  <c r="AE383" i="1" s="1"/>
  <c r="AE384" i="1" s="1"/>
  <c r="AE385" i="1" s="1"/>
  <c r="AE386" i="1" s="1"/>
  <c r="AE387" i="1" s="1"/>
  <c r="AE388" i="1" s="1"/>
  <c r="AE389" i="1" s="1"/>
  <c r="AE390" i="1" s="1"/>
  <c r="AE391" i="1" s="1"/>
  <c r="AE392" i="1" s="1"/>
  <c r="AE393" i="1" s="1"/>
  <c r="AE394" i="1" s="1"/>
  <c r="AE395" i="1" s="1"/>
  <c r="AE396" i="1" s="1"/>
  <c r="AE397" i="1" s="1"/>
  <c r="AE398" i="1" s="1"/>
  <c r="AE399" i="1" s="1"/>
  <c r="AE400" i="1" s="1"/>
  <c r="AE401" i="1" s="1"/>
  <c r="AE402" i="1" s="1"/>
  <c r="AE403" i="1" s="1"/>
  <c r="AE404" i="1" s="1"/>
  <c r="AE405" i="1" s="1"/>
  <c r="AE406" i="1" s="1"/>
  <c r="AE407" i="1" s="1"/>
  <c r="AE408" i="1" s="1"/>
  <c r="AE409" i="1" s="1"/>
  <c r="AE410" i="1" s="1"/>
  <c r="AE411" i="1" s="1"/>
  <c r="AE412" i="1" s="1"/>
  <c r="AE413" i="1" s="1"/>
  <c r="AE414" i="1" s="1"/>
  <c r="AE415" i="1" s="1"/>
  <c r="AE416" i="1" s="1"/>
  <c r="AE417" i="1" s="1"/>
  <c r="AE418" i="1" s="1"/>
  <c r="AE419" i="1" s="1"/>
  <c r="AE420" i="1" s="1"/>
  <c r="AE421" i="1" s="1"/>
  <c r="AE422" i="1" s="1"/>
  <c r="AE423" i="1" s="1"/>
  <c r="AE424" i="1" s="1"/>
  <c r="AE425" i="1" s="1"/>
  <c r="AE426" i="1" s="1"/>
  <c r="AE427" i="1" s="1"/>
  <c r="AE428" i="1" s="1"/>
  <c r="AE429" i="1" s="1"/>
  <c r="AE430" i="1" s="1"/>
  <c r="AE431" i="1" s="1"/>
  <c r="AE432" i="1" s="1"/>
  <c r="AG320" i="1"/>
  <c r="AG355" i="1"/>
  <c r="AG334" i="1"/>
  <c r="AG376" i="1"/>
  <c r="AG383" i="1"/>
  <c r="AG397" i="1"/>
  <c r="AG432" i="1"/>
  <c r="AG404" i="1"/>
  <c r="AG411" i="1"/>
  <c r="AG362" i="1"/>
  <c r="AG390" i="1"/>
  <c r="AG327" i="1"/>
  <c r="AG341" i="1"/>
  <c r="AG418" i="1"/>
  <c r="AG348" i="1"/>
  <c r="AG369" i="1"/>
  <c r="AG425" i="1"/>
  <c r="AK9" i="2"/>
  <c r="N72" i="1"/>
  <c r="D59" i="1"/>
  <c r="D72" i="1"/>
  <c r="C70" i="1" s="1"/>
  <c r="N50" i="1"/>
  <c r="L53" i="1" s="1"/>
  <c r="U54" i="1"/>
  <c r="V24" i="2"/>
  <c r="V26" i="2"/>
  <c r="W24" i="2"/>
  <c r="W25" i="2"/>
  <c r="S24" i="2"/>
  <c r="S25" i="2"/>
  <c r="R26" i="2"/>
  <c r="R25" i="2"/>
  <c r="T24" i="2"/>
  <c r="V6" i="2"/>
  <c r="AK44" i="2"/>
  <c r="AM58" i="2"/>
  <c r="AM51" i="2"/>
  <c r="AM34" i="2"/>
  <c r="AK30" i="2"/>
  <c r="AK58" i="2"/>
  <c r="V7" i="2"/>
  <c r="AE48" i="2"/>
  <c r="AE51" i="2"/>
  <c r="AE37" i="2"/>
  <c r="AE34" i="2"/>
  <c r="AG48" i="2"/>
  <c r="AG27" i="2"/>
  <c r="N19" i="2"/>
  <c r="H31" i="10"/>
  <c r="T39" i="2"/>
  <c r="F37" i="10"/>
  <c r="U41" i="2"/>
  <c r="K4" i="9"/>
  <c r="G23" i="2"/>
  <c r="AM27" i="2"/>
  <c r="AK48" i="2"/>
  <c r="AK41" i="2"/>
  <c r="AM24" i="2"/>
  <c r="AK37" i="2"/>
  <c r="U35" i="2"/>
  <c r="G22" i="2"/>
  <c r="AE27" i="2"/>
  <c r="AE55" i="2"/>
  <c r="AE44" i="2"/>
  <c r="AG24" i="2"/>
  <c r="AG37" i="2"/>
  <c r="E38" i="10"/>
  <c r="V39" i="2"/>
  <c r="L35" i="10"/>
  <c r="L31" i="10"/>
  <c r="D39" i="10"/>
  <c r="F29" i="10"/>
  <c r="AH55" i="2"/>
  <c r="X26" i="2"/>
  <c r="X25" i="2"/>
  <c r="V25" i="2"/>
  <c r="X24" i="2"/>
  <c r="W26" i="2"/>
  <c r="T26" i="2"/>
  <c r="T25" i="2"/>
  <c r="R24" i="2"/>
  <c r="S26" i="2"/>
  <c r="I4" i="9"/>
  <c r="V31" i="2"/>
  <c r="K4" i="10"/>
  <c r="V12" i="2"/>
  <c r="AK55" i="2"/>
  <c r="AK51" i="2"/>
  <c r="AK34" i="2"/>
  <c r="AM30" i="2"/>
  <c r="AM37" i="2"/>
  <c r="AM41" i="2"/>
  <c r="G9" i="2"/>
  <c r="AE30" i="2"/>
  <c r="AE41" i="2"/>
  <c r="AG44" i="2"/>
  <c r="AG34" i="2"/>
  <c r="AG58" i="2"/>
  <c r="AG41" i="2"/>
  <c r="AE24" i="2"/>
  <c r="M76" i="2"/>
  <c r="D27" i="10"/>
  <c r="I82" i="2"/>
  <c r="K77" i="2"/>
  <c r="K5" i="10"/>
  <c r="V13" i="2"/>
  <c r="AM55" i="2"/>
  <c r="AM48" i="2"/>
  <c r="AK27" i="2"/>
  <c r="AK24" i="2"/>
  <c r="AM44" i="2"/>
  <c r="V30" i="2"/>
  <c r="AE58" i="2"/>
  <c r="AG51" i="2"/>
  <c r="AG30" i="2"/>
  <c r="AG55" i="2"/>
  <c r="N18" i="2"/>
  <c r="C40" i="10"/>
  <c r="O38" i="10"/>
  <c r="H35" i="10"/>
  <c r="G80" i="2"/>
  <c r="AM180" i="1"/>
  <c r="AJ186" i="1"/>
  <c r="AM192" i="1"/>
  <c r="AJ144" i="1"/>
  <c r="AL138" i="1"/>
  <c r="AL180" i="1"/>
  <c r="AM198" i="1"/>
  <c r="AL162" i="1"/>
  <c r="U40" i="3"/>
  <c r="W38" i="3"/>
  <c r="N6" i="3"/>
  <c r="N5" i="3"/>
  <c r="K78" i="3"/>
  <c r="K28" i="3"/>
  <c r="K53" i="3"/>
  <c r="E25" i="3"/>
  <c r="C30" i="3"/>
  <c r="C29" i="3"/>
  <c r="M44" i="3"/>
  <c r="M59" i="3"/>
  <c r="O73" i="3"/>
  <c r="O64" i="3"/>
  <c r="G17" i="3"/>
  <c r="O39" i="3"/>
  <c r="M43" i="3"/>
  <c r="M34" i="3"/>
  <c r="O74" i="3"/>
  <c r="G16" i="3"/>
  <c r="M48" i="3"/>
  <c r="M63" i="3"/>
  <c r="M33" i="3"/>
  <c r="O44" i="3"/>
  <c r="G22" i="3"/>
  <c r="O29" i="3"/>
  <c r="O63" i="3"/>
  <c r="M38" i="3"/>
  <c r="O58" i="3"/>
  <c r="M74" i="3"/>
  <c r="O59" i="3"/>
  <c r="O54" i="3"/>
  <c r="M49" i="3"/>
  <c r="K68" i="3"/>
  <c r="K23" i="3"/>
  <c r="E26" i="3"/>
  <c r="M19" i="3"/>
  <c r="O33" i="3"/>
  <c r="O24" i="3"/>
  <c r="O79" i="3"/>
  <c r="G25" i="3"/>
  <c r="O48" i="3"/>
  <c r="M64" i="3"/>
  <c r="M39" i="3"/>
  <c r="M18" i="3"/>
  <c r="O34" i="3"/>
  <c r="O38" i="3"/>
  <c r="M58" i="3"/>
  <c r="M73" i="3"/>
  <c r="O69" i="3"/>
  <c r="O19" i="3"/>
  <c r="O43" i="3"/>
  <c r="O18" i="3"/>
  <c r="O49" i="3"/>
  <c r="G21" i="3"/>
  <c r="G26" i="3"/>
  <c r="O66" i="1"/>
  <c r="O57" i="1"/>
  <c r="O70" i="1"/>
  <c r="O53" i="1"/>
  <c r="AM5" i="1"/>
  <c r="AJ204" i="1"/>
  <c r="AK114" i="1"/>
  <c r="AK192" i="1"/>
  <c r="AM186" i="1"/>
  <c r="AJ114" i="1"/>
  <c r="AJ120" i="1"/>
  <c r="AK150" i="1"/>
  <c r="AJ156" i="1"/>
  <c r="AM108" i="1"/>
  <c r="AL174" i="1"/>
  <c r="AM150" i="1"/>
  <c r="AL150" i="1"/>
  <c r="AL186" i="1"/>
  <c r="AL192" i="1"/>
  <c r="AM174" i="1"/>
  <c r="AM120" i="1"/>
  <c r="AK108" i="1"/>
  <c r="AK102" i="1"/>
  <c r="AL120" i="1"/>
  <c r="AL198" i="1"/>
  <c r="AM162" i="1"/>
  <c r="AJ126" i="1"/>
  <c r="AL156" i="1"/>
  <c r="AJ150" i="1"/>
  <c r="X54" i="1"/>
  <c r="Y55" i="1"/>
  <c r="BC35" i="1"/>
  <c r="X55" i="1"/>
  <c r="O19" i="1"/>
  <c r="D68" i="1"/>
  <c r="Z55" i="1"/>
  <c r="BC36" i="1"/>
  <c r="E70" i="1"/>
  <c r="AL102" i="1"/>
  <c r="AJ162" i="1"/>
  <c r="AK138" i="1"/>
  <c r="AJ138" i="1"/>
  <c r="AM138" i="1"/>
  <c r="AJ174" i="1"/>
  <c r="AJ180" i="1"/>
  <c r="AM114" i="1"/>
  <c r="AM126" i="1"/>
  <c r="AJ102" i="1"/>
  <c r="AL126" i="1"/>
  <c r="AM204" i="1"/>
  <c r="AJ192" i="1"/>
  <c r="AK126" i="1"/>
  <c r="AK132" i="1"/>
  <c r="AL204" i="1"/>
  <c r="AM168" i="1"/>
  <c r="AL168" i="1"/>
  <c r="AK168" i="1"/>
  <c r="AL144" i="1"/>
  <c r="AK144" i="1"/>
  <c r="AJ168" i="1"/>
  <c r="AK180" i="1"/>
  <c r="AK186" i="1"/>
  <c r="AK156" i="1"/>
  <c r="AK162" i="1"/>
  <c r="AJ108" i="1"/>
  <c r="AC19" i="1"/>
  <c r="AB82" i="1"/>
  <c r="AD15" i="1"/>
  <c r="X56" i="1"/>
  <c r="AC85" i="1"/>
  <c r="BB36" i="1"/>
  <c r="AD88" i="1"/>
  <c r="AC25" i="1"/>
  <c r="AC24" i="1"/>
  <c r="E57" i="1"/>
  <c r="E53" i="1"/>
  <c r="AB85" i="1"/>
  <c r="AD16" i="1"/>
  <c r="AD82" i="1"/>
  <c r="BA36" i="1"/>
  <c r="Y56" i="1"/>
  <c r="BA35" i="1"/>
  <c r="Y54" i="1"/>
  <c r="L26" i="1"/>
  <c r="L19" i="1"/>
  <c r="AK174" i="1"/>
  <c r="AK120" i="1"/>
  <c r="AK204" i="1"/>
  <c r="BB35" i="1"/>
  <c r="AB88" i="1"/>
  <c r="AC82" i="1"/>
  <c r="C66" i="1"/>
  <c r="AC88" i="1"/>
  <c r="Z56" i="1"/>
  <c r="AD85" i="1"/>
  <c r="Z54" i="1"/>
  <c r="D69" i="1"/>
  <c r="E66" i="1"/>
  <c r="W36" i="3"/>
  <c r="U36" i="3"/>
  <c r="W37" i="3"/>
  <c r="U22" i="3"/>
  <c r="U30" i="3"/>
  <c r="W23" i="3"/>
  <c r="W29" i="3"/>
  <c r="U23" i="3"/>
  <c r="W22" i="3"/>
  <c r="U29" i="3"/>
  <c r="U37" i="3"/>
  <c r="W30" i="3"/>
  <c r="T41" i="3" l="1"/>
  <c r="T39" i="3"/>
  <c r="S40" i="3" s="1"/>
  <c r="C27" i="3"/>
  <c r="E31" i="3"/>
  <c r="G66" i="1"/>
  <c r="Z319" i="1"/>
  <c r="AB319" i="1"/>
  <c r="Y319" i="1"/>
  <c r="O127" i="1"/>
  <c r="P132" i="1" s="1"/>
  <c r="E222" i="2"/>
  <c r="F221" i="2"/>
  <c r="J178" i="1"/>
  <c r="P168" i="1"/>
  <c r="K132" i="1"/>
  <c r="J132" i="1"/>
  <c r="L132" i="1"/>
  <c r="M132" i="1"/>
  <c r="N141" i="1"/>
  <c r="M141" i="1"/>
  <c r="P141" i="1"/>
  <c r="J141" i="1"/>
  <c r="K141" i="1"/>
  <c r="I141" i="1"/>
  <c r="O141" i="1"/>
  <c r="L141" i="1"/>
  <c r="O173" i="1"/>
  <c r="K173" i="1"/>
  <c r="M173" i="1"/>
  <c r="N173" i="1"/>
  <c r="J173" i="1"/>
  <c r="I173" i="1"/>
  <c r="L173" i="1"/>
  <c r="P173" i="1"/>
  <c r="L319" i="1"/>
  <c r="K320" i="1"/>
  <c r="AL35" i="1"/>
  <c r="AM66" i="1" s="1"/>
  <c r="AK36" i="1"/>
  <c r="AM46" i="1" s="1"/>
  <c r="AM35" i="1"/>
  <c r="AM81" i="1" s="1"/>
  <c r="BD49" i="1"/>
  <c r="BE49" i="1" s="1"/>
  <c r="BD39" i="1"/>
  <c r="BE39" i="1" s="1"/>
  <c r="BD52" i="1"/>
  <c r="BE52" i="1" s="1"/>
  <c r="BD55" i="1"/>
  <c r="BE55" i="1" s="1"/>
  <c r="BD54" i="1"/>
  <c r="BE54" i="1" s="1"/>
  <c r="AL37" i="1"/>
  <c r="AM56" i="1" s="1"/>
  <c r="BD56" i="1"/>
  <c r="BE56" i="1" s="1"/>
  <c r="BD41" i="1"/>
  <c r="BE41" i="1" s="1"/>
  <c r="BD53" i="1"/>
  <c r="BE53" i="1" s="1"/>
  <c r="BD50" i="1"/>
  <c r="BE50" i="1" s="1"/>
  <c r="AM36" i="1"/>
  <c r="AM76" i="1" s="1"/>
  <c r="AK37" i="1"/>
  <c r="AM41" i="1" s="1"/>
  <c r="AL36" i="1"/>
  <c r="AM61" i="1" s="1"/>
  <c r="AM37" i="1"/>
  <c r="AM71" i="1" s="1"/>
  <c r="AE15" i="1"/>
  <c r="BD40" i="1"/>
  <c r="BE40" i="1" s="1"/>
  <c r="AK35" i="1"/>
  <c r="AM51" i="1" s="1"/>
  <c r="B66" i="1"/>
  <c r="U53" i="1"/>
  <c r="B53" i="1"/>
  <c r="P53" i="1"/>
  <c r="F66" i="1"/>
  <c r="AR128" i="1"/>
  <c r="AR129" i="1" s="1"/>
  <c r="AL90" i="1"/>
  <c r="AR130" i="1" s="1"/>
  <c r="AR131" i="1" s="1"/>
  <c r="AM90" i="1"/>
  <c r="F230" i="2"/>
  <c r="G229" i="2"/>
  <c r="AK11" i="2"/>
  <c r="T64" i="2"/>
  <c r="H38" i="2"/>
  <c r="W75" i="2"/>
  <c r="H46" i="2"/>
  <c r="H55" i="2"/>
  <c r="H30" i="2"/>
  <c r="I30" i="2" s="1"/>
  <c r="W67" i="2"/>
  <c r="W59" i="2"/>
  <c r="X59" i="2" s="1"/>
  <c r="W51" i="2"/>
  <c r="AK196" i="1"/>
  <c r="AK148" i="1"/>
  <c r="AK112" i="1"/>
  <c r="AK124" i="1"/>
  <c r="AK160" i="1"/>
  <c r="AK203" i="1"/>
  <c r="AK136" i="1"/>
  <c r="AK167" i="1"/>
  <c r="AA35" i="1"/>
  <c r="AK179" i="1"/>
  <c r="AK131" i="1"/>
  <c r="AK155" i="1"/>
  <c r="AK191" i="1"/>
  <c r="AK143" i="1"/>
  <c r="AK172" i="1"/>
  <c r="AK119" i="1"/>
  <c r="AK184" i="1"/>
  <c r="AK107" i="1"/>
  <c r="AK100" i="1"/>
  <c r="AA39" i="1"/>
  <c r="M40" i="1"/>
  <c r="AG18" i="2"/>
  <c r="T72" i="2"/>
  <c r="T48" i="2"/>
  <c r="AC11" i="2"/>
  <c r="B46" i="2"/>
  <c r="B55" i="2"/>
  <c r="Q67" i="2"/>
  <c r="Q51" i="2"/>
  <c r="B30" i="2"/>
  <c r="C30" i="2" s="1"/>
  <c r="B38" i="2"/>
  <c r="Q75" i="2"/>
  <c r="Q59" i="2"/>
  <c r="R59" i="2" s="1"/>
  <c r="E52" i="2"/>
  <c r="B59" i="2"/>
  <c r="C59" i="2" s="1"/>
  <c r="E27" i="2"/>
  <c r="I28" i="2"/>
  <c r="C28" i="2"/>
  <c r="AK190" i="1"/>
  <c r="AK178" i="1"/>
  <c r="AK202" i="1"/>
  <c r="AK154" i="1"/>
  <c r="AK166" i="1"/>
  <c r="AK118" i="1"/>
  <c r="AK142" i="1"/>
  <c r="AK130" i="1"/>
  <c r="AK106" i="1"/>
  <c r="AK101" i="1"/>
  <c r="K68" i="1"/>
  <c r="AH30" i="1"/>
  <c r="AD27" i="1"/>
  <c r="Z29" i="1"/>
  <c r="AC27" i="1"/>
  <c r="AC31" i="1"/>
  <c r="N37" i="1"/>
  <c r="K55" i="1" s="1"/>
  <c r="L55" i="1" s="1"/>
  <c r="AK197" i="1"/>
  <c r="AK161" i="1"/>
  <c r="AK185" i="1"/>
  <c r="AK137" i="1"/>
  <c r="AK149" i="1"/>
  <c r="AK125" i="1"/>
  <c r="AK113" i="1"/>
  <c r="AK173" i="1"/>
  <c r="AB28" i="1"/>
  <c r="AF31" i="1"/>
  <c r="AC29" i="1"/>
  <c r="AC30" i="1"/>
  <c r="AC28" i="1"/>
  <c r="V99" i="1"/>
  <c r="AA319" i="1"/>
  <c r="Z320" i="1"/>
  <c r="AC319" i="1"/>
  <c r="AA320" i="1"/>
  <c r="W320" i="1"/>
  <c r="X320" i="1"/>
  <c r="Y320" i="1"/>
  <c r="X319" i="1"/>
  <c r="U66" i="1"/>
  <c r="G53" i="1"/>
  <c r="C57" i="1"/>
  <c r="L288" i="1"/>
  <c r="L289" i="1" s="1"/>
  <c r="K288" i="1"/>
  <c r="K289" i="1" s="1"/>
  <c r="O288" i="1"/>
  <c r="O289" i="1" s="1"/>
  <c r="N288" i="1"/>
  <c r="N289" i="1" s="1"/>
  <c r="P288" i="1"/>
  <c r="P289" i="1" s="1"/>
  <c r="M288" i="1"/>
  <c r="M289" i="1" s="1"/>
  <c r="J288" i="1"/>
  <c r="AC320" i="1"/>
  <c r="BP27" i="1"/>
  <c r="Z37" i="1" s="1"/>
  <c r="BO28" i="1"/>
  <c r="Z34" i="1"/>
  <c r="AB320" i="1"/>
  <c r="I31" i="2"/>
  <c r="R58" i="2"/>
  <c r="I27" i="2"/>
  <c r="Q66" i="1"/>
  <c r="W319" i="1"/>
  <c r="J30" i="10"/>
  <c r="J25" i="10"/>
  <c r="J26" i="10"/>
  <c r="J28" i="10"/>
  <c r="AA121" i="1"/>
  <c r="AB121" i="1" s="1"/>
  <c r="D85" i="1"/>
  <c r="I29" i="2"/>
  <c r="X58" i="2"/>
  <c r="X60" i="2"/>
  <c r="C31" i="2"/>
  <c r="R60" i="2"/>
  <c r="C27" i="2"/>
  <c r="R56" i="2"/>
  <c r="C29" i="2"/>
  <c r="X56" i="2"/>
  <c r="F19" i="2"/>
  <c r="S37" i="2"/>
  <c r="X6" i="2"/>
  <c r="K80" i="2"/>
  <c r="B25" i="10"/>
  <c r="S40" i="2"/>
  <c r="F12" i="2"/>
  <c r="I76" i="2"/>
  <c r="P27" i="10"/>
  <c r="G84" i="2"/>
  <c r="W37" i="2"/>
  <c r="X13" i="2"/>
  <c r="T42" i="2"/>
  <c r="X7" i="2"/>
  <c r="G76" i="2"/>
  <c r="M36" i="10"/>
  <c r="P39" i="10"/>
  <c r="H19" i="2"/>
  <c r="V42" i="2"/>
  <c r="X12" i="2"/>
  <c r="J8" i="9"/>
  <c r="Q40" i="10"/>
  <c r="I84" i="2"/>
  <c r="R41" i="10"/>
  <c r="C26" i="10"/>
  <c r="C76" i="2"/>
  <c r="M5" i="10"/>
  <c r="H12" i="2"/>
  <c r="J6" i="9"/>
  <c r="N29" i="10"/>
  <c r="E77" i="2"/>
  <c r="W40" i="2"/>
  <c r="M4" i="10"/>
  <c r="N37" i="10"/>
  <c r="G82" i="2"/>
  <c r="E80" i="2"/>
  <c r="P5" i="3"/>
  <c r="P6" i="3"/>
  <c r="O23" i="3"/>
  <c r="M23" i="3"/>
  <c r="O68" i="3"/>
  <c r="E29" i="3"/>
  <c r="G29" i="3"/>
  <c r="O53" i="3"/>
  <c r="M53" i="3"/>
  <c r="M29" i="3"/>
  <c r="O78" i="3"/>
  <c r="M78" i="3"/>
  <c r="C34" i="3"/>
  <c r="C33" i="3"/>
  <c r="M24" i="3"/>
  <c r="M69" i="3"/>
  <c r="M68" i="3"/>
  <c r="E30" i="3"/>
  <c r="G30" i="3"/>
  <c r="M54" i="3"/>
  <c r="M28" i="3"/>
  <c r="O28" i="3"/>
  <c r="M79" i="3"/>
  <c r="O142" i="1"/>
  <c r="M133" i="1"/>
  <c r="J70" i="1"/>
  <c r="K142" i="1"/>
  <c r="J174" i="1"/>
  <c r="L133" i="1"/>
  <c r="L142" i="1"/>
  <c r="D55" i="1"/>
  <c r="S69" i="1"/>
  <c r="I56" i="1"/>
  <c r="I69" i="1"/>
  <c r="P142" i="1"/>
  <c r="J133" i="1"/>
  <c r="P174" i="1"/>
  <c r="C53" i="1"/>
  <c r="AG24" i="1"/>
  <c r="D56" i="1"/>
  <c r="I55" i="1"/>
  <c r="S55" i="1"/>
  <c r="O174" i="1"/>
  <c r="M142" i="1"/>
  <c r="AG25" i="1"/>
  <c r="S68" i="1"/>
  <c r="J142" i="1"/>
  <c r="P133" i="1"/>
  <c r="L174" i="1"/>
  <c r="K174" i="1"/>
  <c r="H66" i="1"/>
  <c r="N142" i="1"/>
  <c r="K133" i="1"/>
  <c r="N174" i="1"/>
  <c r="H70" i="1"/>
  <c r="I68" i="1"/>
  <c r="M174" i="1"/>
  <c r="S56" i="1"/>
  <c r="S44" i="3"/>
  <c r="S43" i="3"/>
  <c r="T47" i="3" l="1"/>
  <c r="S45" i="3"/>
  <c r="T45" i="3"/>
  <c r="E35" i="3"/>
  <c r="C31" i="3"/>
  <c r="G221" i="2"/>
  <c r="F222" i="2"/>
  <c r="N132" i="1"/>
  <c r="I132" i="1"/>
  <c r="O132" i="1"/>
  <c r="N179" i="1"/>
  <c r="I179" i="1"/>
  <c r="O179" i="1"/>
  <c r="L179" i="1"/>
  <c r="K179" i="1"/>
  <c r="J179" i="1"/>
  <c r="P179" i="1"/>
  <c r="M179" i="1"/>
  <c r="M319" i="1"/>
  <c r="L320" i="1"/>
  <c r="H229" i="2"/>
  <c r="H230" i="2" s="1"/>
  <c r="G230" i="2"/>
  <c r="AK91" i="1"/>
  <c r="AR132" i="1"/>
  <c r="B60" i="2"/>
  <c r="C60" i="2" s="1"/>
  <c r="E35" i="2"/>
  <c r="E43" i="2"/>
  <c r="E53" i="2"/>
  <c r="I44" i="2"/>
  <c r="C36" i="2"/>
  <c r="C37" i="2"/>
  <c r="I43" i="2"/>
  <c r="I45" i="2"/>
  <c r="I47" i="2"/>
  <c r="C39" i="2"/>
  <c r="C35" i="2"/>
  <c r="V43" i="3"/>
  <c r="P68" i="3"/>
  <c r="P34" i="3"/>
  <c r="X30" i="3"/>
  <c r="H16" i="3"/>
  <c r="X23" i="3"/>
  <c r="P59" i="3"/>
  <c r="H29" i="3"/>
  <c r="X37" i="3"/>
  <c r="P49" i="3"/>
  <c r="P18" i="3"/>
  <c r="P28" i="3"/>
  <c r="X29" i="3"/>
  <c r="P53" i="3"/>
  <c r="P29" i="3"/>
  <c r="H22" i="3"/>
  <c r="P19" i="3"/>
  <c r="P44" i="3"/>
  <c r="P64" i="3"/>
  <c r="P24" i="3"/>
  <c r="V22" i="3"/>
  <c r="N38" i="3"/>
  <c r="N18" i="3"/>
  <c r="V30" i="3"/>
  <c r="N74" i="3"/>
  <c r="N69" i="3"/>
  <c r="F26" i="3"/>
  <c r="N59" i="3"/>
  <c r="N19" i="3"/>
  <c r="N53" i="3"/>
  <c r="N58" i="3"/>
  <c r="N78" i="3"/>
  <c r="N73" i="3"/>
  <c r="F17" i="3"/>
  <c r="N49" i="3"/>
  <c r="N54" i="3"/>
  <c r="N64" i="3"/>
  <c r="N79" i="3"/>
  <c r="V29" i="3"/>
  <c r="X36" i="3"/>
  <c r="P33" i="3"/>
  <c r="P23" i="3"/>
  <c r="X22" i="3"/>
  <c r="H26" i="3"/>
  <c r="P54" i="3"/>
  <c r="H21" i="3"/>
  <c r="H30" i="3"/>
  <c r="P74" i="3"/>
  <c r="P58" i="3"/>
  <c r="P43" i="3"/>
  <c r="P63" i="3"/>
  <c r="P48" i="3"/>
  <c r="H25" i="3"/>
  <c r="P39" i="3"/>
  <c r="H17" i="3"/>
  <c r="P79" i="3"/>
  <c r="P69" i="3"/>
  <c r="N63" i="3"/>
  <c r="N28" i="3"/>
  <c r="N43" i="3"/>
  <c r="V36" i="3"/>
  <c r="F21" i="3"/>
  <c r="F34" i="3"/>
  <c r="N24" i="3"/>
  <c r="F29" i="3"/>
  <c r="N34" i="3"/>
  <c r="F33" i="3"/>
  <c r="F30" i="3"/>
  <c r="N68" i="3"/>
  <c r="N48" i="3"/>
  <c r="N23" i="3"/>
  <c r="N33" i="3"/>
  <c r="V23" i="3"/>
  <c r="F22" i="3"/>
  <c r="V44" i="3"/>
  <c r="N39" i="3"/>
  <c r="N29" i="3"/>
  <c r="F25" i="3"/>
  <c r="V37" i="3"/>
  <c r="N44" i="3"/>
  <c r="F16" i="3"/>
  <c r="P73" i="3"/>
  <c r="P78" i="3"/>
  <c r="P38" i="3"/>
  <c r="T50" i="2"/>
  <c r="AD8" i="2"/>
  <c r="AH15" i="2"/>
  <c r="T74" i="2"/>
  <c r="AM160" i="1"/>
  <c r="AM124" i="1"/>
  <c r="AM112" i="1"/>
  <c r="AM172" i="1"/>
  <c r="AM184" i="1"/>
  <c r="AM179" i="1"/>
  <c r="AM131" i="1"/>
  <c r="AM148" i="1"/>
  <c r="AM107" i="1"/>
  <c r="AM100" i="1"/>
  <c r="AM191" i="1"/>
  <c r="AM143" i="1"/>
  <c r="AM167" i="1"/>
  <c r="AM203" i="1"/>
  <c r="AM155" i="1"/>
  <c r="AM136" i="1"/>
  <c r="AM119" i="1"/>
  <c r="AM196" i="1"/>
  <c r="AC35" i="1"/>
  <c r="T66" i="2"/>
  <c r="AL8" i="2"/>
  <c r="AM118" i="1"/>
  <c r="AM161" i="1"/>
  <c r="AM142" i="1"/>
  <c r="AM197" i="1"/>
  <c r="AM149" i="1"/>
  <c r="AM190" i="1"/>
  <c r="AM154" i="1"/>
  <c r="AM137" i="1"/>
  <c r="S64" i="1"/>
  <c r="AD29" i="1"/>
  <c r="AB30" i="1"/>
  <c r="AC36" i="1"/>
  <c r="AG29" i="1"/>
  <c r="AG28" i="1"/>
  <c r="AC39" i="1" s="1"/>
  <c r="AG30" i="1"/>
  <c r="AM202" i="1"/>
  <c r="AM178" i="1"/>
  <c r="AM113" i="1"/>
  <c r="AM125" i="1"/>
  <c r="AM166" i="1"/>
  <c r="AM130" i="1"/>
  <c r="AM173" i="1"/>
  <c r="AM185" i="1"/>
  <c r="AM106" i="1"/>
  <c r="AM101" i="1"/>
  <c r="AC40" i="1"/>
  <c r="AG21" i="1"/>
  <c r="AH27" i="1"/>
  <c r="AG31" i="1"/>
  <c r="AF28" i="1"/>
  <c r="L35" i="1"/>
  <c r="I51" i="1" s="1"/>
  <c r="Z31" i="1"/>
  <c r="AG27" i="1"/>
  <c r="L45" i="1"/>
  <c r="S51" i="1" s="1"/>
  <c r="V97" i="1"/>
  <c r="Y36" i="1"/>
  <c r="AD40" i="1"/>
  <c r="Y40" i="1"/>
  <c r="AD36" i="1"/>
  <c r="Z36" i="1"/>
  <c r="Z40" i="1"/>
  <c r="AB40" i="1"/>
  <c r="AB36" i="1"/>
  <c r="AA40" i="1"/>
  <c r="AA36" i="1"/>
  <c r="AC21" i="1"/>
  <c r="AD5" i="1"/>
  <c r="AF21" i="1"/>
  <c r="AO27" i="1"/>
  <c r="AO24" i="1"/>
  <c r="AE21" i="1"/>
  <c r="AO25" i="1"/>
  <c r="AD6" i="1"/>
  <c r="AO23" i="1"/>
  <c r="AO20" i="1"/>
  <c r="AO19" i="1"/>
  <c r="AB21" i="1"/>
  <c r="AD21" i="1"/>
  <c r="B61" i="2"/>
  <c r="C61" i="2" s="1"/>
  <c r="E36" i="2"/>
  <c r="E54" i="2"/>
  <c r="E44" i="2"/>
  <c r="I36" i="2"/>
  <c r="C44" i="2"/>
  <c r="I39" i="2"/>
  <c r="I35" i="2"/>
  <c r="C45" i="2"/>
  <c r="I37" i="2"/>
  <c r="C43" i="2"/>
  <c r="C47" i="2"/>
  <c r="Q77" i="2"/>
  <c r="X9" i="2"/>
  <c r="B48" i="2"/>
  <c r="C48" i="2" s="1"/>
  <c r="B32" i="2"/>
  <c r="C32" i="2" s="1"/>
  <c r="Q69" i="2"/>
  <c r="Q53" i="2"/>
  <c r="Q61" i="2"/>
  <c r="R61" i="2" s="1"/>
  <c r="B40" i="2"/>
  <c r="C40" i="2" s="1"/>
  <c r="B57" i="2"/>
  <c r="AG38" i="2"/>
  <c r="AG25" i="2"/>
  <c r="AE45" i="2"/>
  <c r="AE56" i="2"/>
  <c r="AE28" i="2"/>
  <c r="AG28" i="2"/>
  <c r="AG49" i="2"/>
  <c r="AE35" i="2"/>
  <c r="AE38" i="2"/>
  <c r="AE52" i="2"/>
  <c r="AE49" i="2"/>
  <c r="V9" i="2"/>
  <c r="AH52" i="2"/>
  <c r="AH56" i="2"/>
  <c r="AH25" i="2"/>
  <c r="AH28" i="2"/>
  <c r="AI56" i="2"/>
  <c r="AD45" i="2"/>
  <c r="AF56" i="2"/>
  <c r="AD56" i="2"/>
  <c r="AD31" i="2"/>
  <c r="AD38" i="2"/>
  <c r="AI52" i="2"/>
  <c r="AH35" i="2"/>
  <c r="AH45" i="2"/>
  <c r="AH59" i="2"/>
  <c r="W9" i="2"/>
  <c r="AI38" i="2"/>
  <c r="AD35" i="2"/>
  <c r="AF59" i="2"/>
  <c r="AD52" i="2"/>
  <c r="AF38" i="2"/>
  <c r="AD49" i="2"/>
  <c r="AF45" i="2"/>
  <c r="AI45" i="2"/>
  <c r="AG56" i="2"/>
  <c r="AG31" i="2"/>
  <c r="AG52" i="2"/>
  <c r="AE59" i="2"/>
  <c r="AE25" i="2"/>
  <c r="AG42" i="2"/>
  <c r="AG59" i="2"/>
  <c r="AG35" i="2"/>
  <c r="AG45" i="2"/>
  <c r="AE42" i="2"/>
  <c r="AE31" i="2"/>
  <c r="AI31" i="2"/>
  <c r="AH42" i="2"/>
  <c r="AI59" i="2"/>
  <c r="AH31" i="2"/>
  <c r="AI42" i="2"/>
  <c r="T9" i="2"/>
  <c r="AF35" i="2"/>
  <c r="AD59" i="2"/>
  <c r="AF52" i="2"/>
  <c r="AD25" i="2"/>
  <c r="AH38" i="2"/>
  <c r="AI25" i="2"/>
  <c r="AI35" i="2"/>
  <c r="AH49" i="2"/>
  <c r="U9" i="2"/>
  <c r="AI28" i="2"/>
  <c r="AI49" i="2"/>
  <c r="AD42" i="2"/>
  <c r="AF25" i="2"/>
  <c r="AF49" i="2"/>
  <c r="AD28" i="2"/>
  <c r="AF28" i="2"/>
  <c r="AF42" i="2"/>
  <c r="AF31" i="2"/>
  <c r="AB8" i="2"/>
  <c r="T49" i="2"/>
  <c r="AF15" i="2"/>
  <c r="T73" i="2"/>
  <c r="W77" i="2"/>
  <c r="X15" i="2"/>
  <c r="H57" i="2"/>
  <c r="I57" i="2" s="1"/>
  <c r="H32" i="2"/>
  <c r="I32" i="2" s="1"/>
  <c r="W53" i="2"/>
  <c r="X53" i="2" s="1"/>
  <c r="H40" i="2"/>
  <c r="I40" i="2" s="1"/>
  <c r="H48" i="2"/>
  <c r="I48" i="2" s="1"/>
  <c r="W61" i="2"/>
  <c r="X61" i="2" s="1"/>
  <c r="W69" i="2"/>
  <c r="AK38" i="2"/>
  <c r="AM25" i="2"/>
  <c r="AK42" i="2"/>
  <c r="AK49" i="2"/>
  <c r="AM28" i="2"/>
  <c r="AI26" i="2"/>
  <c r="AI36" i="2"/>
  <c r="AH50" i="2"/>
  <c r="W15" i="2"/>
  <c r="AJ35" i="2"/>
  <c r="AJ59" i="2"/>
  <c r="AJ56" i="2"/>
  <c r="AL35" i="2"/>
  <c r="AJ25" i="2"/>
  <c r="AI39" i="2"/>
  <c r="AI46" i="2"/>
  <c r="AH53" i="2"/>
  <c r="AH57" i="2"/>
  <c r="AH26" i="2"/>
  <c r="T15" i="2"/>
  <c r="AJ42" i="2"/>
  <c r="AL45" i="2"/>
  <c r="AL28" i="2"/>
  <c r="AJ49" i="2"/>
  <c r="AL31" i="2"/>
  <c r="AJ38" i="2"/>
  <c r="AI43" i="2"/>
  <c r="AH39" i="2"/>
  <c r="AK59" i="2"/>
  <c r="AK31" i="2"/>
  <c r="AM35" i="2"/>
  <c r="AM52" i="2"/>
  <c r="AM59" i="2"/>
  <c r="AK45" i="2"/>
  <c r="AM45" i="2"/>
  <c r="AK25" i="2"/>
  <c r="AK28" i="2"/>
  <c r="AM49" i="2"/>
  <c r="AM56" i="2"/>
  <c r="V15" i="2"/>
  <c r="AH36" i="2"/>
  <c r="AH46" i="2"/>
  <c r="AH60" i="2"/>
  <c r="U15" i="2"/>
  <c r="AL49" i="2"/>
  <c r="AJ28" i="2"/>
  <c r="AJ45" i="2"/>
  <c r="AL59" i="2"/>
  <c r="AL25" i="2"/>
  <c r="AI29" i="2"/>
  <c r="AI50" i="2"/>
  <c r="AI32" i="2"/>
  <c r="AH43" i="2"/>
  <c r="AI60" i="2"/>
  <c r="AH32" i="2"/>
  <c r="AJ52" i="2"/>
  <c r="AL38" i="2"/>
  <c r="AL42" i="2"/>
  <c r="AL56" i="2"/>
  <c r="AL52" i="2"/>
  <c r="AJ31" i="2"/>
  <c r="AH29" i="2"/>
  <c r="AI57" i="2"/>
  <c r="AI53" i="2"/>
  <c r="AM42" i="2"/>
  <c r="AM38" i="2"/>
  <c r="AM31" i="2"/>
  <c r="AK35" i="2"/>
  <c r="AK52" i="2"/>
  <c r="AK56" i="2"/>
  <c r="T65" i="2"/>
  <c r="AJ8" i="2"/>
  <c r="BO29" i="1"/>
  <c r="BP28" i="1"/>
  <c r="AA37" i="1" s="1"/>
  <c r="AA34" i="1"/>
  <c r="J289" i="1"/>
  <c r="N285" i="1"/>
  <c r="L68" i="1"/>
  <c r="C53" i="2"/>
  <c r="I53" i="2"/>
  <c r="C38" i="2"/>
  <c r="R51" i="2"/>
  <c r="C55" i="2"/>
  <c r="X73" i="2"/>
  <c r="R73" i="2"/>
  <c r="I46" i="2"/>
  <c r="I38" i="2"/>
  <c r="R65" i="2"/>
  <c r="X65" i="2"/>
  <c r="AA122" i="1"/>
  <c r="AB122" i="1" s="1"/>
  <c r="D86" i="1"/>
  <c r="R75" i="2"/>
  <c r="R67" i="2"/>
  <c r="C46" i="2"/>
  <c r="X49" i="2"/>
  <c r="R49" i="2"/>
  <c r="X51" i="2"/>
  <c r="X67" i="2"/>
  <c r="I55" i="2"/>
  <c r="X75" i="2"/>
  <c r="H83" i="2"/>
  <c r="Y6" i="2"/>
  <c r="N5" i="10"/>
  <c r="M30" i="10"/>
  <c r="R25" i="10"/>
  <c r="Y7" i="2"/>
  <c r="W39" i="2"/>
  <c r="Q26" i="10"/>
  <c r="U45" i="2"/>
  <c r="Y12" i="2"/>
  <c r="S39" i="2"/>
  <c r="Y13" i="2"/>
  <c r="E28" i="10"/>
  <c r="N4" i="10"/>
  <c r="U42" i="2"/>
  <c r="G30" i="10"/>
  <c r="O28" i="10"/>
  <c r="W45" i="3"/>
  <c r="U47" i="3"/>
  <c r="Q6" i="3"/>
  <c r="Q5" i="3"/>
  <c r="E33" i="3"/>
  <c r="G33" i="3"/>
  <c r="C38" i="3"/>
  <c r="C37" i="3"/>
  <c r="E34" i="3"/>
  <c r="G34" i="3"/>
  <c r="K180" i="1"/>
  <c r="O133" i="1"/>
  <c r="N180" i="1"/>
  <c r="L180" i="1"/>
  <c r="M57" i="1"/>
  <c r="O180" i="1"/>
  <c r="J180" i="1"/>
  <c r="M53" i="1"/>
  <c r="N56" i="1"/>
  <c r="N133" i="1"/>
  <c r="M180" i="1"/>
  <c r="AI24" i="1"/>
  <c r="N55" i="1"/>
  <c r="J66" i="1"/>
  <c r="P180" i="1"/>
  <c r="AI25" i="1"/>
  <c r="U44" i="3"/>
  <c r="W43" i="3"/>
  <c r="U43" i="3"/>
  <c r="W44" i="3"/>
  <c r="X44" i="3" l="1"/>
  <c r="X43" i="3"/>
  <c r="T48" i="3"/>
  <c r="T46" i="3"/>
  <c r="S47" i="3" s="1"/>
  <c r="H34" i="3"/>
  <c r="F37" i="3"/>
  <c r="F38" i="3"/>
  <c r="H33" i="3"/>
  <c r="C35" i="3"/>
  <c r="E39" i="3"/>
  <c r="G222" i="2"/>
  <c r="H221" i="2"/>
  <c r="H222" i="2" s="1"/>
  <c r="N319" i="1"/>
  <c r="N320" i="1" s="1"/>
  <c r="M320" i="1"/>
  <c r="AG5" i="1"/>
  <c r="AR133" i="1"/>
  <c r="AR134" i="1" s="1"/>
  <c r="AL91" i="1"/>
  <c r="AR135" i="1" s="1"/>
  <c r="AR136" i="1" s="1"/>
  <c r="AM91" i="1"/>
  <c r="O290" i="1"/>
  <c r="M290" i="1"/>
  <c r="L290" i="1"/>
  <c r="K290" i="1"/>
  <c r="J290" i="1"/>
  <c r="P290" i="1"/>
  <c r="N290" i="1"/>
  <c r="I290" i="1"/>
  <c r="BO30" i="1"/>
  <c r="BP29" i="1"/>
  <c r="AB37" i="1" s="1"/>
  <c r="AB34" i="1"/>
  <c r="X66" i="2"/>
  <c r="X68" i="2"/>
  <c r="R68" i="2"/>
  <c r="R64" i="2"/>
  <c r="R66" i="2"/>
  <c r="X64" i="2"/>
  <c r="X77" i="2"/>
  <c r="X50" i="2"/>
  <c r="R52" i="2"/>
  <c r="X52" i="2"/>
  <c r="R48" i="2"/>
  <c r="R50" i="2"/>
  <c r="X48" i="2"/>
  <c r="T18" i="2"/>
  <c r="I59" i="1"/>
  <c r="S72" i="1"/>
  <c r="D87" i="1"/>
  <c r="AA123" i="1"/>
  <c r="AB123" i="1" s="1"/>
  <c r="T19" i="2"/>
  <c r="X69" i="2"/>
  <c r="X74" i="2"/>
  <c r="R76" i="2"/>
  <c r="R72" i="2"/>
  <c r="X76" i="2"/>
  <c r="R74" i="2"/>
  <c r="X72" i="2"/>
  <c r="R53" i="2"/>
  <c r="R69" i="2"/>
  <c r="R77" i="2"/>
  <c r="S59" i="1"/>
  <c r="C52" i="2"/>
  <c r="I54" i="2"/>
  <c r="I56" i="2"/>
  <c r="C56" i="2"/>
  <c r="I52" i="2"/>
  <c r="C54" i="2"/>
  <c r="U18" i="2"/>
  <c r="U19" i="2"/>
  <c r="E37" i="3"/>
  <c r="E38" i="3"/>
  <c r="G37" i="3"/>
  <c r="G38" i="3"/>
  <c r="C41" i="3"/>
  <c r="C42" i="3"/>
  <c r="J291" i="1"/>
  <c r="M291" i="1"/>
  <c r="T66" i="1"/>
  <c r="R53" i="1"/>
  <c r="M66" i="1"/>
  <c r="AH5" i="1"/>
  <c r="N291" i="1"/>
  <c r="J53" i="1"/>
  <c r="H53" i="1"/>
  <c r="N69" i="1"/>
  <c r="O291" i="1"/>
  <c r="P291" i="1"/>
  <c r="N68" i="1"/>
  <c r="T53" i="1"/>
  <c r="L291" i="1"/>
  <c r="K291" i="1"/>
  <c r="R66" i="1"/>
  <c r="M70" i="1"/>
  <c r="S51" i="3"/>
  <c r="S50" i="3"/>
  <c r="V51" i="3" l="1"/>
  <c r="V50" i="3"/>
  <c r="S52" i="3"/>
  <c r="T52" i="3"/>
  <c r="T54" i="3"/>
  <c r="F42" i="3"/>
  <c r="F41" i="3"/>
  <c r="H38" i="3"/>
  <c r="H37" i="3"/>
  <c r="C39" i="3"/>
  <c r="E43" i="3"/>
  <c r="P37" i="2"/>
  <c r="B163" i="2"/>
  <c r="C163" i="2" s="1"/>
  <c r="B135" i="2"/>
  <c r="C135" i="2" s="1"/>
  <c r="B225" i="2"/>
  <c r="F225" i="2" s="1"/>
  <c r="G225" i="2" s="1"/>
  <c r="B216" i="2"/>
  <c r="F216" i="2" s="1"/>
  <c r="G216" i="2" s="1"/>
  <c r="B157" i="2"/>
  <c r="C157" i="2" s="1"/>
  <c r="L37" i="2"/>
  <c r="B126" i="2"/>
  <c r="C126" i="2" s="1"/>
  <c r="F216" i="1"/>
  <c r="G314" i="1"/>
  <c r="K314" i="1" s="1"/>
  <c r="L314" i="1" s="1"/>
  <c r="I216" i="1"/>
  <c r="G253" i="1"/>
  <c r="K252" i="1"/>
  <c r="L252" i="1" s="1"/>
  <c r="AK92" i="1"/>
  <c r="AR137" i="1"/>
  <c r="AA124" i="1"/>
  <c r="AB124" i="1" s="1"/>
  <c r="D88" i="1"/>
  <c r="BO31" i="1"/>
  <c r="BP30" i="1"/>
  <c r="AC37" i="1" s="1"/>
  <c r="AC34" i="1"/>
  <c r="N31" i="2"/>
  <c r="N37" i="2"/>
  <c r="W52" i="3"/>
  <c r="U54" i="3"/>
  <c r="G42" i="3"/>
  <c r="E42" i="3"/>
  <c r="G41" i="3"/>
  <c r="E41" i="3"/>
  <c r="C45" i="3"/>
  <c r="C46" i="3"/>
  <c r="T70" i="1"/>
  <c r="H57" i="1"/>
  <c r="T57" i="1"/>
  <c r="J216" i="1"/>
  <c r="R70" i="1"/>
  <c r="R57" i="1"/>
  <c r="J57" i="1"/>
  <c r="U51" i="3"/>
  <c r="U50" i="3"/>
  <c r="W50" i="3"/>
  <c r="W51" i="3"/>
  <c r="X51" i="3" l="1"/>
  <c r="X50" i="3"/>
  <c r="T55" i="3"/>
  <c r="T53" i="3"/>
  <c r="S54" i="3" s="1"/>
  <c r="F46" i="3"/>
  <c r="F45" i="3"/>
  <c r="H41" i="3"/>
  <c r="H42" i="3"/>
  <c r="C43" i="3"/>
  <c r="E47" i="3"/>
  <c r="K216" i="1"/>
  <c r="AR138" i="1"/>
  <c r="AR139" i="1" s="1"/>
  <c r="AM92" i="1"/>
  <c r="AL92" i="1"/>
  <c r="AR140" i="1" s="1"/>
  <c r="AR141" i="1" s="1"/>
  <c r="L317" i="1"/>
  <c r="J317" i="1"/>
  <c r="N317" i="1"/>
  <c r="I317" i="1"/>
  <c r="M317" i="1"/>
  <c r="K317" i="1"/>
  <c r="H317" i="1"/>
  <c r="D129" i="2"/>
  <c r="D130" i="2" s="1"/>
  <c r="D131" i="2" s="1"/>
  <c r="E129" i="2"/>
  <c r="E130" i="2" s="1"/>
  <c r="E131" i="2" s="1"/>
  <c r="I129" i="2"/>
  <c r="I130" i="2" s="1"/>
  <c r="I131" i="2" s="1"/>
  <c r="H129" i="2"/>
  <c r="H130" i="2" s="1"/>
  <c r="H131" i="2" s="1"/>
  <c r="G129" i="2"/>
  <c r="G130" i="2" s="1"/>
  <c r="G131" i="2" s="1"/>
  <c r="C129" i="2"/>
  <c r="C130" i="2" s="1"/>
  <c r="C131" i="2" s="1"/>
  <c r="F129" i="2"/>
  <c r="F130" i="2" s="1"/>
  <c r="F131" i="2" s="1"/>
  <c r="D160" i="2"/>
  <c r="D161" i="2" s="1"/>
  <c r="D162" i="2" s="1"/>
  <c r="C160" i="2"/>
  <c r="C161" i="2" s="1"/>
  <c r="C162" i="2" s="1"/>
  <c r="H160" i="2"/>
  <c r="H161" i="2" s="1"/>
  <c r="H162" i="2" s="1"/>
  <c r="F160" i="2"/>
  <c r="F161" i="2" s="1"/>
  <c r="F162" i="2" s="1"/>
  <c r="E160" i="2"/>
  <c r="E161" i="2" s="1"/>
  <c r="E162" i="2" s="1"/>
  <c r="G160" i="2"/>
  <c r="G161" i="2" s="1"/>
  <c r="G162" i="2" s="1"/>
  <c r="I160" i="2"/>
  <c r="I161" i="2" s="1"/>
  <c r="I162" i="2" s="1"/>
  <c r="P246" i="2"/>
  <c r="P284" i="2"/>
  <c r="P314" i="2"/>
  <c r="P241" i="2"/>
  <c r="P275" i="2"/>
  <c r="P309" i="2"/>
  <c r="P232" i="2"/>
  <c r="P262" i="2"/>
  <c r="P300" i="2"/>
  <c r="P223" i="2"/>
  <c r="P257" i="2"/>
  <c r="P291" i="2"/>
  <c r="F227" i="2"/>
  <c r="P248" i="2"/>
  <c r="P278" i="2"/>
  <c r="P316" i="2"/>
  <c r="P239" i="2"/>
  <c r="P273" i="2"/>
  <c r="P307" i="2"/>
  <c r="P226" i="2"/>
  <c r="P264" i="2"/>
  <c r="P230" i="2"/>
  <c r="P268" i="2"/>
  <c r="P298" i="2"/>
  <c r="P225" i="2"/>
  <c r="P259" i="2"/>
  <c r="P293" i="2"/>
  <c r="D227" i="2"/>
  <c r="P237" i="2"/>
  <c r="P305" i="2"/>
  <c r="P258" i="2"/>
  <c r="P219" i="2"/>
  <c r="P287" i="2"/>
  <c r="P244" i="2"/>
  <c r="P312" i="2"/>
  <c r="P269" i="2"/>
  <c r="P222" i="2"/>
  <c r="P290" i="2"/>
  <c r="P294" i="2"/>
  <c r="P255" i="2"/>
  <c r="G231" i="2" s="1"/>
  <c r="H227" i="2"/>
  <c r="P280" i="2"/>
  <c r="P220" i="2"/>
  <c r="P288" i="2"/>
  <c r="P245" i="2"/>
  <c r="P313" i="2"/>
  <c r="P266" i="2"/>
  <c r="P227" i="2"/>
  <c r="P295" i="2"/>
  <c r="P252" i="2"/>
  <c r="D231" i="2" s="1"/>
  <c r="P320" i="2"/>
  <c r="P277" i="2"/>
  <c r="P281" i="2"/>
  <c r="P234" i="2"/>
  <c r="P302" i="2"/>
  <c r="P263" i="2"/>
  <c r="P267" i="2"/>
  <c r="P224" i="2"/>
  <c r="P292" i="2"/>
  <c r="P249" i="2"/>
  <c r="P317" i="2"/>
  <c r="P270" i="2"/>
  <c r="P231" i="2"/>
  <c r="P299" i="2"/>
  <c r="P256" i="2"/>
  <c r="H231" i="2" s="1"/>
  <c r="G227" i="2"/>
  <c r="P217" i="2"/>
  <c r="P285" i="2"/>
  <c r="P238" i="2"/>
  <c r="P306" i="2"/>
  <c r="P271" i="2"/>
  <c r="P296" i="2"/>
  <c r="P216" i="2"/>
  <c r="P235" i="2"/>
  <c r="P260" i="2"/>
  <c r="P221" i="2"/>
  <c r="P242" i="2"/>
  <c r="P250" i="2"/>
  <c r="P279" i="2"/>
  <c r="P304" i="2"/>
  <c r="B227" i="2"/>
  <c r="P243" i="2"/>
  <c r="P315" i="2"/>
  <c r="P229" i="2"/>
  <c r="P233" i="2"/>
  <c r="P301" i="2"/>
  <c r="P254" i="2"/>
  <c r="F231" i="2" s="1"/>
  <c r="E227" i="2"/>
  <c r="P283" i="2"/>
  <c r="P240" i="2"/>
  <c r="P308" i="2"/>
  <c r="P265" i="2"/>
  <c r="P218" i="2"/>
  <c r="P286" i="2"/>
  <c r="P247" i="2"/>
  <c r="P251" i="2"/>
  <c r="C231" i="2" s="1"/>
  <c r="P319" i="2"/>
  <c r="P276" i="2"/>
  <c r="P310" i="2"/>
  <c r="P228" i="2"/>
  <c r="P253" i="2"/>
  <c r="E231" i="2" s="1"/>
  <c r="P274" i="2"/>
  <c r="P303" i="2"/>
  <c r="C227" i="2"/>
  <c r="P289" i="2"/>
  <c r="P297" i="2"/>
  <c r="P318" i="2"/>
  <c r="P236" i="2"/>
  <c r="P261" i="2"/>
  <c r="P282" i="2"/>
  <c r="P311" i="2"/>
  <c r="P272" i="2"/>
  <c r="G166" i="2"/>
  <c r="G167" i="2" s="1"/>
  <c r="G168" i="2" s="1"/>
  <c r="I166" i="2"/>
  <c r="I167" i="2" s="1"/>
  <c r="I168" i="2" s="1"/>
  <c r="C166" i="2"/>
  <c r="C167" i="2" s="1"/>
  <c r="C168" i="2" s="1"/>
  <c r="F166" i="2"/>
  <c r="F167" i="2" s="1"/>
  <c r="F168" i="2" s="1"/>
  <c r="H166" i="2"/>
  <c r="H167" i="2" s="1"/>
  <c r="H168" i="2" s="1"/>
  <c r="D166" i="2"/>
  <c r="D167" i="2" s="1"/>
  <c r="D168" i="2" s="1"/>
  <c r="E166" i="2"/>
  <c r="E167" i="2" s="1"/>
  <c r="E168" i="2" s="1"/>
  <c r="I256" i="1"/>
  <c r="N256" i="1"/>
  <c r="L256" i="1"/>
  <c r="K256" i="1"/>
  <c r="M256" i="1"/>
  <c r="O256" i="1"/>
  <c r="J256" i="1"/>
  <c r="L216" i="1"/>
  <c r="L222" i="2"/>
  <c r="L226" i="2"/>
  <c r="L277" i="2"/>
  <c r="L230" i="2"/>
  <c r="L242" i="2"/>
  <c r="L296" i="2"/>
  <c r="L281" i="2"/>
  <c r="L229" i="2"/>
  <c r="B219" i="2"/>
  <c r="L285" i="2"/>
  <c r="L291" i="2"/>
  <c r="L288" i="2"/>
  <c r="L290" i="2"/>
  <c r="L274" i="2"/>
  <c r="L307" i="2"/>
  <c r="H219" i="2"/>
  <c r="L255" i="2"/>
  <c r="L289" i="2"/>
  <c r="L287" i="2"/>
  <c r="L246" i="2"/>
  <c r="L252" i="2"/>
  <c r="L247" i="2"/>
  <c r="L300" i="2"/>
  <c r="L299" i="2"/>
  <c r="L295" i="2"/>
  <c r="L282" i="2"/>
  <c r="L302" i="2"/>
  <c r="L258" i="2"/>
  <c r="L262" i="2"/>
  <c r="D219" i="2"/>
  <c r="L233" i="2"/>
  <c r="L253" i="2"/>
  <c r="L293" i="2"/>
  <c r="L298" i="2"/>
  <c r="L267" i="2"/>
  <c r="L294" i="2"/>
  <c r="L231" i="2"/>
  <c r="L318" i="2"/>
  <c r="L251" i="2"/>
  <c r="L232" i="2"/>
  <c r="L269" i="2"/>
  <c r="L316" i="2"/>
  <c r="L266" i="2"/>
  <c r="E223" i="2" s="1"/>
  <c r="L227" i="2"/>
  <c r="L261" i="2"/>
  <c r="L237" i="2"/>
  <c r="L245" i="2"/>
  <c r="L220" i="2"/>
  <c r="L224" i="2"/>
  <c r="L234" i="2"/>
  <c r="L219" i="2"/>
  <c r="L276" i="2"/>
  <c r="L270" i="2"/>
  <c r="L221" i="2"/>
  <c r="L223" i="2"/>
  <c r="L249" i="2"/>
  <c r="L248" i="2"/>
  <c r="L225" i="2"/>
  <c r="L297" i="2"/>
  <c r="L259" i="2"/>
  <c r="L310" i="2"/>
  <c r="L238" i="2"/>
  <c r="L228" i="2"/>
  <c r="L278" i="2"/>
  <c r="L284" i="2"/>
  <c r="L312" i="2"/>
  <c r="L236" i="2"/>
  <c r="L217" i="2"/>
  <c r="L314" i="2"/>
  <c r="L260" i="2"/>
  <c r="L271" i="2"/>
  <c r="L268" i="2"/>
  <c r="L279" i="2"/>
  <c r="L256" i="2"/>
  <c r="G219" i="2"/>
  <c r="C219" i="2"/>
  <c r="L304" i="2"/>
  <c r="L254" i="2"/>
  <c r="L317" i="2"/>
  <c r="L275" i="2"/>
  <c r="L235" i="2"/>
  <c r="L286" i="2"/>
  <c r="L309" i="2"/>
  <c r="L250" i="2"/>
  <c r="L280" i="2"/>
  <c r="L244" i="2"/>
  <c r="L257" i="2"/>
  <c r="L305" i="2"/>
  <c r="L311" i="2"/>
  <c r="L315" i="2"/>
  <c r="L308" i="2"/>
  <c r="L303" i="2"/>
  <c r="L243" i="2"/>
  <c r="L264" i="2"/>
  <c r="C223" i="2" s="1"/>
  <c r="L320" i="2"/>
  <c r="L273" i="2"/>
  <c r="L283" i="2"/>
  <c r="E219" i="2"/>
  <c r="F219" i="2"/>
  <c r="L313" i="2"/>
  <c r="L241" i="2"/>
  <c r="L218" i="2"/>
  <c r="L272" i="2"/>
  <c r="L265" i="2"/>
  <c r="D223" i="2" s="1"/>
  <c r="L263" i="2"/>
  <c r="B223" i="2" s="1"/>
  <c r="L301" i="2"/>
  <c r="L306" i="2"/>
  <c r="L239" i="2"/>
  <c r="L319" i="2"/>
  <c r="L216" i="2"/>
  <c r="L292" i="2"/>
  <c r="L240" i="2"/>
  <c r="H138" i="2"/>
  <c r="H139" i="2" s="1"/>
  <c r="H140" i="2" s="1"/>
  <c r="I138" i="2"/>
  <c r="I139" i="2" s="1"/>
  <c r="I140" i="2" s="1"/>
  <c r="G138" i="2"/>
  <c r="G139" i="2" s="1"/>
  <c r="G140" i="2" s="1"/>
  <c r="C138" i="2"/>
  <c r="C139" i="2" s="1"/>
  <c r="C140" i="2" s="1"/>
  <c r="D138" i="2"/>
  <c r="D139" i="2" s="1"/>
  <c r="D140" i="2" s="1"/>
  <c r="E138" i="2"/>
  <c r="E139" i="2" s="1"/>
  <c r="E140" i="2" s="1"/>
  <c r="F138" i="2"/>
  <c r="F139" i="2" s="1"/>
  <c r="F140" i="2" s="1"/>
  <c r="BP31" i="1"/>
  <c r="AD37" i="1" s="1"/>
  <c r="BO32" i="1"/>
  <c r="AD34" i="1"/>
  <c r="D89" i="1"/>
  <c r="AA125" i="1"/>
  <c r="AB125" i="1" s="1"/>
  <c r="M34" i="2"/>
  <c r="O34" i="2"/>
  <c r="G46" i="3"/>
  <c r="E45" i="3"/>
  <c r="G45" i="3"/>
  <c r="E46" i="3"/>
  <c r="C49" i="3"/>
  <c r="C50" i="3"/>
  <c r="S57" i="3"/>
  <c r="S58" i="3"/>
  <c r="V58" i="3" l="1"/>
  <c r="V57" i="3"/>
  <c r="T61" i="3"/>
  <c r="T59" i="3"/>
  <c r="S59" i="3"/>
  <c r="F50" i="3"/>
  <c r="F49" i="3"/>
  <c r="H45" i="3"/>
  <c r="H46" i="3"/>
  <c r="C47" i="3"/>
  <c r="E51" i="3"/>
  <c r="H223" i="2"/>
  <c r="F223" i="2"/>
  <c r="B231" i="2"/>
  <c r="G223" i="2"/>
  <c r="O225" i="1"/>
  <c r="O226" i="1" s="1"/>
  <c r="K225" i="1"/>
  <c r="K226" i="1" s="1"/>
  <c r="J225" i="1"/>
  <c r="J226" i="1" s="1"/>
  <c r="L225" i="1"/>
  <c r="L226" i="1" s="1"/>
  <c r="M225" i="1"/>
  <c r="M226" i="1" s="1"/>
  <c r="I225" i="1"/>
  <c r="I226" i="1" s="1"/>
  <c r="N225" i="1"/>
  <c r="N226" i="1" s="1"/>
  <c r="O257" i="1"/>
  <c r="AE253" i="1"/>
  <c r="AD253" i="1"/>
  <c r="AD249" i="1"/>
  <c r="K257" i="1"/>
  <c r="AE249" i="1"/>
  <c r="N257" i="1"/>
  <c r="AC252" i="1" s="1"/>
  <c r="AD252" i="1"/>
  <c r="AE252" i="1"/>
  <c r="S373" i="1"/>
  <c r="S387" i="1"/>
  <c r="S401" i="1"/>
  <c r="S366" i="1"/>
  <c r="S422" i="1"/>
  <c r="S429" i="1"/>
  <c r="S352" i="1"/>
  <c r="S380" i="1"/>
  <c r="S394" i="1"/>
  <c r="S338" i="1"/>
  <c r="S408" i="1"/>
  <c r="S317" i="1"/>
  <c r="S359" i="1"/>
  <c r="S415" i="1"/>
  <c r="S331" i="1"/>
  <c r="S324" i="1"/>
  <c r="S345" i="1"/>
  <c r="S406" i="1"/>
  <c r="S420" i="1"/>
  <c r="S392" i="1"/>
  <c r="S378" i="1"/>
  <c r="S343" i="1"/>
  <c r="S329" i="1"/>
  <c r="S364" i="1"/>
  <c r="S336" i="1"/>
  <c r="S413" i="1"/>
  <c r="S427" i="1"/>
  <c r="S399" i="1"/>
  <c r="S385" i="1"/>
  <c r="S350" i="1"/>
  <c r="S357" i="1"/>
  <c r="S315" i="1"/>
  <c r="S371" i="1"/>
  <c r="S322" i="1"/>
  <c r="S421" i="1"/>
  <c r="S323" i="1"/>
  <c r="S400" i="1"/>
  <c r="S316" i="1"/>
  <c r="S379" i="1"/>
  <c r="S330" i="1"/>
  <c r="S358" i="1"/>
  <c r="S414" i="1"/>
  <c r="S428" i="1"/>
  <c r="S407" i="1"/>
  <c r="S386" i="1"/>
  <c r="S393" i="1"/>
  <c r="S351" i="1"/>
  <c r="S365" i="1"/>
  <c r="S344" i="1"/>
  <c r="S372" i="1"/>
  <c r="S337" i="1"/>
  <c r="AE248" i="1"/>
  <c r="AD248" i="1"/>
  <c r="J257" i="1"/>
  <c r="AD251" i="1"/>
  <c r="AE251" i="1"/>
  <c r="M257" i="1"/>
  <c r="AE250" i="1"/>
  <c r="AD250" i="1"/>
  <c r="L257" i="1"/>
  <c r="AD247" i="1"/>
  <c r="AE247" i="1"/>
  <c r="I257" i="1"/>
  <c r="M252" i="1"/>
  <c r="S419" i="1"/>
  <c r="S384" i="1"/>
  <c r="S426" i="1"/>
  <c r="S321" i="1"/>
  <c r="S335" i="1"/>
  <c r="S356" i="1"/>
  <c r="S398" i="1"/>
  <c r="S349" i="1"/>
  <c r="S377" i="1"/>
  <c r="S405" i="1"/>
  <c r="S370" i="1"/>
  <c r="S328" i="1"/>
  <c r="S342" i="1"/>
  <c r="S391" i="1"/>
  <c r="S314" i="1"/>
  <c r="S412" i="1"/>
  <c r="S363" i="1"/>
  <c r="S347" i="1"/>
  <c r="S396" i="1"/>
  <c r="S417" i="1"/>
  <c r="S382" i="1"/>
  <c r="S326" i="1"/>
  <c r="S319" i="1"/>
  <c r="S375" i="1"/>
  <c r="S431" i="1"/>
  <c r="S333" i="1"/>
  <c r="S340" i="1"/>
  <c r="S424" i="1"/>
  <c r="S354" i="1"/>
  <c r="S361" i="1"/>
  <c r="S389" i="1"/>
  <c r="S410" i="1"/>
  <c r="S403" i="1"/>
  <c r="S368" i="1"/>
  <c r="S327" i="1"/>
  <c r="S411" i="1"/>
  <c r="S334" i="1"/>
  <c r="S355" i="1"/>
  <c r="S404" i="1"/>
  <c r="S397" i="1"/>
  <c r="S418" i="1"/>
  <c r="S432" i="1"/>
  <c r="S376" i="1"/>
  <c r="S320" i="1"/>
  <c r="S341" i="1"/>
  <c r="S425" i="1"/>
  <c r="S348" i="1"/>
  <c r="S390" i="1"/>
  <c r="S369" i="1"/>
  <c r="S383" i="1"/>
  <c r="S362" i="1"/>
  <c r="S409" i="1"/>
  <c r="S381" i="1"/>
  <c r="S416" i="1"/>
  <c r="S430" i="1"/>
  <c r="S388" i="1"/>
  <c r="S346" i="1"/>
  <c r="S367" i="1"/>
  <c r="S402" i="1"/>
  <c r="S339" i="1"/>
  <c r="S332" i="1"/>
  <c r="S423" i="1"/>
  <c r="S318" i="1"/>
  <c r="S395" i="1"/>
  <c r="S360" i="1"/>
  <c r="S353" i="1"/>
  <c r="S325" i="1"/>
  <c r="S374" i="1"/>
  <c r="AK93" i="1"/>
  <c r="AR142" i="1"/>
  <c r="I219" i="1"/>
  <c r="M219" i="1"/>
  <c r="M220" i="1" s="1"/>
  <c r="J219" i="1"/>
  <c r="J220" i="1" s="1"/>
  <c r="K219" i="1"/>
  <c r="K220" i="1" s="1"/>
  <c r="O219" i="1"/>
  <c r="O220" i="1" s="1"/>
  <c r="L219" i="1"/>
  <c r="L220" i="1" s="1"/>
  <c r="N219" i="1"/>
  <c r="N220" i="1" s="1"/>
  <c r="D90" i="1"/>
  <c r="AA126" i="1"/>
  <c r="AB126" i="1" s="1"/>
  <c r="Y38" i="1"/>
  <c r="BO33" i="1"/>
  <c r="BP32" i="1"/>
  <c r="Y41" i="1" s="1"/>
  <c r="W59" i="3"/>
  <c r="U61" i="3"/>
  <c r="G50" i="3"/>
  <c r="E50" i="3"/>
  <c r="G49" i="3"/>
  <c r="E49" i="3"/>
  <c r="C54" i="3"/>
  <c r="C53" i="3"/>
  <c r="W58" i="3"/>
  <c r="U57" i="3"/>
  <c r="U58" i="3"/>
  <c r="W57" i="3"/>
  <c r="X57" i="3" l="1"/>
  <c r="X58" i="3"/>
  <c r="L321" i="1"/>
  <c r="T60" i="3"/>
  <c r="S61" i="3" s="1"/>
  <c r="T62" i="3"/>
  <c r="F53" i="3"/>
  <c r="F54" i="3"/>
  <c r="H49" i="3"/>
  <c r="H50" i="3"/>
  <c r="C51" i="3"/>
  <c r="E55" i="3"/>
  <c r="K321" i="1"/>
  <c r="N321" i="1"/>
  <c r="M321" i="1"/>
  <c r="J321" i="1"/>
  <c r="I321" i="1"/>
  <c r="H321" i="1"/>
  <c r="J258" i="1"/>
  <c r="M258" i="1"/>
  <c r="H258" i="1"/>
  <c r="O258" i="1"/>
  <c r="L258" i="1"/>
  <c r="K258" i="1"/>
  <c r="I258" i="1"/>
  <c r="N258" i="1"/>
  <c r="AC250" i="1"/>
  <c r="AB251" i="1"/>
  <c r="AC248" i="1"/>
  <c r="AB249" i="1"/>
  <c r="AB250" i="1"/>
  <c r="AC249" i="1"/>
  <c r="AC253" i="1"/>
  <c r="AB253" i="1"/>
  <c r="M216" i="1"/>
  <c r="I220" i="1"/>
  <c r="AL93" i="1"/>
  <c r="AR145" i="1" s="1"/>
  <c r="AR146" i="1" s="1"/>
  <c r="AM93" i="1"/>
  <c r="AR143" i="1"/>
  <c r="AR144" i="1" s="1"/>
  <c r="AB247" i="1"/>
  <c r="AB248" i="1"/>
  <c r="AC247" i="1"/>
  <c r="AB252" i="1"/>
  <c r="AC251" i="1"/>
  <c r="AA127" i="1"/>
  <c r="AB127" i="1" s="1"/>
  <c r="D91" i="1"/>
  <c r="Z38" i="1"/>
  <c r="BP33" i="1"/>
  <c r="Z41" i="1" s="1"/>
  <c r="BO34" i="1"/>
  <c r="E54" i="3"/>
  <c r="G53" i="3"/>
  <c r="G54" i="3"/>
  <c r="C58" i="3"/>
  <c r="C57" i="3"/>
  <c r="E53" i="3"/>
  <c r="M259" i="1"/>
  <c r="J259" i="1"/>
  <c r="N259" i="1"/>
  <c r="K259" i="1"/>
  <c r="O259" i="1"/>
  <c r="I259" i="1"/>
  <c r="L259" i="1"/>
  <c r="S64" i="3"/>
  <c r="S65" i="3"/>
  <c r="V65" i="3" l="1"/>
  <c r="V64" i="3"/>
  <c r="S66" i="3"/>
  <c r="T66" i="3"/>
  <c r="T68" i="3"/>
  <c r="F57" i="3"/>
  <c r="F58" i="3"/>
  <c r="H54" i="3"/>
  <c r="H53" i="3"/>
  <c r="E59" i="3"/>
  <c r="C55" i="3"/>
  <c r="O221" i="1"/>
  <c r="L221" i="1"/>
  <c r="L227" i="1"/>
  <c r="O227" i="1"/>
  <c r="H221" i="1"/>
  <c r="J227" i="1"/>
  <c r="M221" i="1"/>
  <c r="I221" i="1"/>
  <c r="K227" i="1"/>
  <c r="N227" i="1"/>
  <c r="J221" i="1"/>
  <c r="M227" i="1"/>
  <c r="K221" i="1"/>
  <c r="N221" i="1"/>
  <c r="H227" i="1"/>
  <c r="I227" i="1"/>
  <c r="AK94" i="1"/>
  <c r="AR147" i="1"/>
  <c r="AA38" i="1"/>
  <c r="BO35" i="1"/>
  <c r="BP34" i="1"/>
  <c r="AA41" i="1" s="1"/>
  <c r="AA128" i="1"/>
  <c r="AB128" i="1" s="1"/>
  <c r="D92" i="1"/>
  <c r="W66" i="3"/>
  <c r="U68" i="3"/>
  <c r="E57" i="3"/>
  <c r="G57" i="3"/>
  <c r="G58" i="3"/>
  <c r="C61" i="3"/>
  <c r="C62" i="3"/>
  <c r="E58" i="3"/>
  <c r="O222" i="1"/>
  <c r="J222" i="1"/>
  <c r="J228" i="1"/>
  <c r="N222" i="1"/>
  <c r="K228" i="1"/>
  <c r="O228" i="1"/>
  <c r="M228" i="1"/>
  <c r="L222" i="1"/>
  <c r="N228" i="1"/>
  <c r="L228" i="1"/>
  <c r="I222" i="1"/>
  <c r="M222" i="1"/>
  <c r="K222" i="1"/>
  <c r="I228" i="1"/>
  <c r="W65" i="3"/>
  <c r="U64" i="3"/>
  <c r="W64" i="3"/>
  <c r="U65" i="3"/>
  <c r="X64" i="3" l="1"/>
  <c r="X65" i="3"/>
  <c r="T69" i="3"/>
  <c r="T67" i="3"/>
  <c r="S68" i="3" s="1"/>
  <c r="F62" i="3"/>
  <c r="F61" i="3"/>
  <c r="H58" i="3"/>
  <c r="H57" i="3"/>
  <c r="E63" i="3"/>
  <c r="C59" i="3"/>
  <c r="AM94" i="1"/>
  <c r="AR152" i="1" s="1"/>
  <c r="AR148" i="1"/>
  <c r="AR149" i="1" s="1"/>
  <c r="AL94" i="1"/>
  <c r="AR150" i="1" s="1"/>
  <c r="AR151" i="1" s="1"/>
  <c r="BO36" i="1"/>
  <c r="AB38" i="1"/>
  <c r="BP35" i="1"/>
  <c r="AB41" i="1" s="1"/>
  <c r="G62" i="3"/>
  <c r="E62" i="3"/>
  <c r="G61" i="3"/>
  <c r="C66" i="3"/>
  <c r="C65" i="3"/>
  <c r="E61" i="3"/>
  <c r="S72" i="3"/>
  <c r="S71" i="3"/>
  <c r="V72" i="3" l="1"/>
  <c r="V71" i="3"/>
  <c r="T73" i="3"/>
  <c r="S73" i="3"/>
  <c r="T75" i="3"/>
  <c r="F65" i="3"/>
  <c r="F66" i="3"/>
  <c r="H61" i="3"/>
  <c r="H62" i="3"/>
  <c r="C63" i="3"/>
  <c r="AC38" i="1"/>
  <c r="BP36" i="1"/>
  <c r="AC41" i="1" s="1"/>
  <c r="BO37" i="1"/>
  <c r="W73" i="3"/>
  <c r="U75" i="3"/>
  <c r="E65" i="3"/>
  <c r="G65" i="3"/>
  <c r="G66" i="3"/>
  <c r="E66" i="3"/>
  <c r="W71" i="3"/>
  <c r="U72" i="3"/>
  <c r="U71" i="3"/>
  <c r="W72" i="3"/>
  <c r="X72" i="3" l="1"/>
  <c r="X71" i="3"/>
  <c r="T74" i="3"/>
  <c r="S75" i="3" s="1"/>
  <c r="T76" i="3"/>
  <c r="H66" i="3"/>
  <c r="H65" i="3"/>
  <c r="BP37" i="1"/>
  <c r="AD41" i="1" s="1"/>
  <c r="AD38" i="1"/>
  <c r="S78" i="3"/>
  <c r="S79" i="3"/>
  <c r="V79" i="3" l="1"/>
  <c r="V78" i="3"/>
  <c r="S80" i="3"/>
  <c r="T80" i="3"/>
  <c r="T82" i="3"/>
  <c r="W80" i="3"/>
  <c r="U82" i="3"/>
  <c r="W79" i="3"/>
  <c r="U78" i="3"/>
  <c r="W78" i="3"/>
  <c r="U79" i="3"/>
  <c r="X78" i="3" l="1"/>
  <c r="X79" i="3"/>
  <c r="T81" i="3"/>
  <c r="S82" i="3" s="1"/>
  <c r="T83" i="3"/>
  <c r="S85" i="3"/>
  <c r="S86" i="3"/>
  <c r="V86" i="3" l="1"/>
  <c r="V85" i="3"/>
  <c r="T87" i="3"/>
  <c r="T89" i="3"/>
  <c r="S87" i="3"/>
  <c r="W87" i="3"/>
  <c r="U89" i="3"/>
  <c r="W86" i="3"/>
  <c r="W85" i="3"/>
  <c r="U85" i="3"/>
  <c r="U86" i="3"/>
  <c r="X85" i="3" l="1"/>
  <c r="X86" i="3"/>
  <c r="T88" i="3"/>
  <c r="S89" i="3" s="1"/>
  <c r="T90" i="3"/>
  <c r="S92" i="3"/>
  <c r="S93" i="3"/>
  <c r="V93" i="3" l="1"/>
  <c r="V92" i="3"/>
  <c r="T96" i="3"/>
  <c r="T94" i="3"/>
  <c r="S94" i="3"/>
  <c r="W94" i="3"/>
  <c r="U96" i="3"/>
  <c r="W93" i="3"/>
  <c r="W92" i="3"/>
  <c r="U92" i="3"/>
  <c r="U93" i="3"/>
  <c r="X92" i="3" l="1"/>
  <c r="X93" i="3"/>
  <c r="T97" i="3"/>
  <c r="T95" i="3"/>
  <c r="S96" i="3" s="1"/>
  <c r="S100" i="3"/>
  <c r="S99" i="3"/>
  <c r="V100" i="3" l="1"/>
  <c r="V99" i="3"/>
  <c r="T101" i="3"/>
  <c r="T103" i="3"/>
  <c r="S101" i="3"/>
  <c r="W101" i="3"/>
  <c r="U103" i="3"/>
  <c r="U100" i="3"/>
  <c r="W99" i="3"/>
  <c r="U99" i="3"/>
  <c r="W100" i="3"/>
  <c r="X100" i="3" l="1"/>
  <c r="X99" i="3"/>
  <c r="T104" i="3"/>
  <c r="T102" i="3"/>
  <c r="S103" i="3" s="1"/>
  <c r="S107" i="3"/>
  <c r="S106" i="3"/>
  <c r="V107" i="3" l="1"/>
  <c r="V106" i="3"/>
  <c r="T108" i="3"/>
  <c r="S108" i="3"/>
  <c r="T110" i="3"/>
  <c r="W108" i="3"/>
  <c r="U110" i="3"/>
  <c r="U107" i="3"/>
  <c r="W106" i="3"/>
  <c r="U106" i="3"/>
  <c r="W107" i="3"/>
  <c r="X107" i="3" l="1"/>
  <c r="X106" i="3"/>
  <c r="T111" i="3"/>
  <c r="T109" i="3"/>
  <c r="S110" i="3" s="1"/>
  <c r="S114" i="3"/>
  <c r="S113" i="3"/>
  <c r="V114" i="3" l="1"/>
  <c r="V113" i="3"/>
  <c r="W113" i="3"/>
  <c r="U114" i="3"/>
  <c r="U113" i="3"/>
  <c r="W114" i="3"/>
  <c r="X114" i="3" l="1"/>
  <c r="X113" i="3"/>
</calcChain>
</file>

<file path=xl/comments1.xml><?xml version="1.0" encoding="utf-8"?>
<comments xmlns="http://schemas.openxmlformats.org/spreadsheetml/2006/main">
  <authors>
    <author>vdysh_000</author>
  </authors>
  <commentList>
    <comment ref="AF5" authorId="0" shapeId="0">
      <text>
        <r>
          <rPr>
            <sz val="9"/>
            <color indexed="81"/>
            <rFont val="Tahoma"/>
            <family val="2"/>
          </rPr>
          <t xml:space="preserve">Если Ретроградно - 1
Если Нет - 0
</t>
        </r>
      </text>
    </comment>
    <comment ref="AL24" authorId="0" shapeId="0">
      <text>
        <r>
          <rPr>
            <b/>
            <sz val="9"/>
            <color indexed="81"/>
            <rFont val="Tahoma"/>
            <family val="2"/>
          </rPr>
          <t>Можно номер машины
Н650ВР (без региона)</t>
        </r>
        <r>
          <rPr>
            <sz val="9"/>
            <color indexed="81"/>
            <rFont val="Tahoma"/>
            <family val="2"/>
          </rPr>
          <t xml:space="preserve">
</t>
        </r>
      </text>
    </comment>
  </commentList>
</comments>
</file>

<file path=xl/sharedStrings.xml><?xml version="1.0" encoding="utf-8"?>
<sst xmlns="http://schemas.openxmlformats.org/spreadsheetml/2006/main" count="2155" uniqueCount="1128">
  <si>
    <t>© Кристалл Судьбы</t>
  </si>
  <si>
    <t>Методика Айрэн и Джули По</t>
  </si>
  <si>
    <t>Дата Рождения</t>
  </si>
  <si>
    <t>День</t>
  </si>
  <si>
    <t>1 Раб. Число</t>
  </si>
  <si>
    <t>2 Раб. Число</t>
  </si>
  <si>
    <t>3 Раб. Число</t>
  </si>
  <si>
    <t>4 Раб. Число</t>
  </si>
  <si>
    <t>5 Раб. Число</t>
  </si>
  <si>
    <t>6 Раб. Число</t>
  </si>
  <si>
    <t>КЧХ</t>
  </si>
  <si>
    <t>Месяц</t>
  </si>
  <si>
    <t>Год</t>
  </si>
  <si>
    <t>"+" Кармы</t>
  </si>
  <si>
    <t>Урок работы над</t>
  </si>
  <si>
    <t>своим внутренним миром</t>
  </si>
  <si>
    <t>Таро День</t>
  </si>
  <si>
    <t>Карма по периодам жизни</t>
  </si>
  <si>
    <t>(Кармические черты характера)</t>
  </si>
  <si>
    <t>Таро Месяц</t>
  </si>
  <si>
    <t>Доп. Знаки</t>
  </si>
  <si>
    <t>1 период</t>
  </si>
  <si>
    <t>2 период</t>
  </si>
  <si>
    <t>3 период</t>
  </si>
  <si>
    <t>4 период</t>
  </si>
  <si>
    <t>Главное</t>
  </si>
  <si>
    <t>Хвосты</t>
  </si>
  <si>
    <t>←</t>
  </si>
  <si>
    <t>1 МЦ</t>
  </si>
  <si>
    <t>2 МЦ</t>
  </si>
  <si>
    <t>3 МЦ</t>
  </si>
  <si>
    <t>→</t>
  </si>
  <si>
    <t>Таро Год</t>
  </si>
  <si>
    <t>В плюсе</t>
  </si>
  <si>
    <t>Прошлые жизни</t>
  </si>
  <si>
    <t>будущее воплощение</t>
  </si>
  <si>
    <t>В минусе</t>
  </si>
  <si>
    <t>Нереализованный</t>
  </si>
  <si>
    <t>ТП</t>
  </si>
  <si>
    <r>
      <t>ТП</t>
    </r>
    <r>
      <rPr>
        <vertAlign val="subscript"/>
        <sz val="11"/>
        <color theme="1"/>
        <rFont val="Times New Roman"/>
        <family val="1"/>
      </rPr>
      <t>доп</t>
    </r>
  </si>
  <si>
    <r>
      <t>ТП</t>
    </r>
    <r>
      <rPr>
        <vertAlign val="subscript"/>
        <sz val="11"/>
        <color theme="1"/>
        <rFont val="Times New Roman"/>
        <family val="1"/>
      </rPr>
      <t>чел</t>
    </r>
  </si>
  <si>
    <t>Урок саморазвития</t>
  </si>
  <si>
    <t>Годы</t>
  </si>
  <si>
    <t>Всегда</t>
  </si>
  <si>
    <t>урок прошлой жизни</t>
  </si>
  <si>
    <t xml:space="preserve">основа для следующего </t>
  </si>
  <si>
    <t>ОПВ</t>
  </si>
  <si>
    <t>(чего не было у человека)</t>
  </si>
  <si>
    <t>Зона Комфорта</t>
  </si>
  <si>
    <t>СЗ</t>
  </si>
  <si>
    <t>воплощения</t>
  </si>
  <si>
    <r>
      <t>ОПВ</t>
    </r>
    <r>
      <rPr>
        <vertAlign val="subscript"/>
        <sz val="11"/>
        <color theme="1"/>
        <rFont val="Calibri"/>
        <family val="2"/>
        <scheme val="minor"/>
      </rPr>
      <t>доп</t>
    </r>
  </si>
  <si>
    <t>Упж</t>
  </si>
  <si>
    <t>Тал</t>
  </si>
  <si>
    <r>
      <t>ТП</t>
    </r>
    <r>
      <rPr>
        <vertAlign val="subscript"/>
        <sz val="11"/>
        <color theme="1"/>
        <rFont val="Calibri"/>
        <family val="2"/>
        <scheme val="minor"/>
      </rPr>
      <t>доп</t>
    </r>
  </si>
  <si>
    <t>Кармический урок, источник</t>
  </si>
  <si>
    <t>"-" Кармы</t>
  </si>
  <si>
    <t>оттока энергии</t>
  </si>
  <si>
    <t>КУ</t>
  </si>
  <si>
    <t>Партнер 1</t>
  </si>
  <si>
    <t>Партнер 2</t>
  </si>
  <si>
    <t>Карма по периодам жизни Партнер 1</t>
  </si>
  <si>
    <t>Карма по периодам жизни Партнер 2</t>
  </si>
  <si>
    <r>
      <t>ОПВ</t>
    </r>
    <r>
      <rPr>
        <vertAlign val="subscript"/>
        <sz val="11"/>
        <color theme="1"/>
        <rFont val="Calibri"/>
        <family val="2"/>
        <scheme val="minor"/>
      </rPr>
      <t>1</t>
    </r>
  </si>
  <si>
    <r>
      <t>ОПВ</t>
    </r>
    <r>
      <rPr>
        <vertAlign val="subscript"/>
        <sz val="11"/>
        <color theme="1"/>
        <rFont val="Calibri"/>
        <family val="2"/>
        <scheme val="minor"/>
      </rPr>
      <t>2</t>
    </r>
  </si>
  <si>
    <r>
      <t>ОПВ</t>
    </r>
    <r>
      <rPr>
        <vertAlign val="subscript"/>
        <sz val="11"/>
        <color theme="1"/>
        <rFont val="Calibri"/>
        <family val="2"/>
        <scheme val="minor"/>
      </rPr>
      <t>1</t>
    </r>
    <r>
      <rPr>
        <sz val="11"/>
        <color theme="1"/>
        <rFont val="Calibri"/>
        <family val="2"/>
        <scheme val="minor"/>
      </rPr>
      <t xml:space="preserve"> Доп</t>
    </r>
  </si>
  <si>
    <r>
      <t>ОПВ</t>
    </r>
    <r>
      <rPr>
        <vertAlign val="subscript"/>
        <sz val="11"/>
        <color theme="1"/>
        <rFont val="Calibri"/>
        <family val="2"/>
        <scheme val="minor"/>
      </rPr>
      <t>2</t>
    </r>
    <r>
      <rPr>
        <sz val="11"/>
        <color theme="1"/>
        <rFont val="Calibri"/>
        <family val="2"/>
        <scheme val="minor"/>
      </rPr>
      <t xml:space="preserve"> Доп</t>
    </r>
  </si>
  <si>
    <r>
      <t>ТП</t>
    </r>
    <r>
      <rPr>
        <vertAlign val="subscript"/>
        <sz val="11"/>
        <color theme="1"/>
        <rFont val="Calibri"/>
        <family val="2"/>
        <scheme val="minor"/>
      </rPr>
      <t>1</t>
    </r>
  </si>
  <si>
    <r>
      <t>ТП</t>
    </r>
    <r>
      <rPr>
        <vertAlign val="subscript"/>
        <sz val="11"/>
        <color theme="1"/>
        <rFont val="Calibri"/>
        <family val="2"/>
        <scheme val="minor"/>
      </rPr>
      <t>3</t>
    </r>
  </si>
  <si>
    <r>
      <t>ТП</t>
    </r>
    <r>
      <rPr>
        <vertAlign val="subscript"/>
        <sz val="11"/>
        <color theme="1"/>
        <rFont val="Calibri"/>
        <family val="2"/>
        <scheme val="minor"/>
      </rPr>
      <t>2</t>
    </r>
  </si>
  <si>
    <r>
      <t>СЗ</t>
    </r>
    <r>
      <rPr>
        <vertAlign val="subscript"/>
        <sz val="11"/>
        <color theme="1"/>
        <rFont val="Calibri"/>
        <family val="2"/>
        <scheme val="minor"/>
      </rPr>
      <t>1</t>
    </r>
  </si>
  <si>
    <r>
      <t>СЗ</t>
    </r>
    <r>
      <rPr>
        <vertAlign val="subscript"/>
        <sz val="11"/>
        <color theme="1"/>
        <rFont val="Calibri"/>
        <family val="2"/>
        <scheme val="minor"/>
      </rPr>
      <t>2</t>
    </r>
  </si>
  <si>
    <r>
      <t>СЗ</t>
    </r>
    <r>
      <rPr>
        <vertAlign val="subscript"/>
        <sz val="11"/>
        <color theme="1"/>
        <rFont val="Calibri"/>
        <family val="2"/>
        <scheme val="minor"/>
      </rPr>
      <t>1-2</t>
    </r>
  </si>
  <si>
    <r>
      <t>СЗ</t>
    </r>
    <r>
      <rPr>
        <vertAlign val="subscript"/>
        <sz val="11"/>
        <color theme="1"/>
        <rFont val="Calibri"/>
        <family val="2"/>
        <scheme val="minor"/>
      </rPr>
      <t>2-1</t>
    </r>
  </si>
  <si>
    <r>
      <t>Д</t>
    </r>
    <r>
      <rPr>
        <vertAlign val="subscript"/>
        <sz val="11"/>
        <color theme="1"/>
        <rFont val="Calibri"/>
        <family val="2"/>
        <scheme val="minor"/>
      </rPr>
      <t>1</t>
    </r>
  </si>
  <si>
    <r>
      <t>Д</t>
    </r>
    <r>
      <rPr>
        <vertAlign val="subscript"/>
        <sz val="11"/>
        <color theme="1"/>
        <rFont val="Calibri"/>
        <family val="2"/>
        <scheme val="minor"/>
      </rPr>
      <t>2</t>
    </r>
  </si>
  <si>
    <r>
      <t>М</t>
    </r>
    <r>
      <rPr>
        <vertAlign val="subscript"/>
        <sz val="11"/>
        <color theme="1"/>
        <rFont val="Calibri"/>
        <family val="2"/>
        <scheme val="minor"/>
      </rPr>
      <t>1</t>
    </r>
  </si>
  <si>
    <r>
      <t>М</t>
    </r>
    <r>
      <rPr>
        <vertAlign val="subscript"/>
        <sz val="11"/>
        <color theme="1"/>
        <rFont val="Calibri"/>
        <family val="2"/>
        <scheme val="minor"/>
      </rPr>
      <t>2</t>
    </r>
  </si>
  <si>
    <r>
      <t>Г</t>
    </r>
    <r>
      <rPr>
        <vertAlign val="subscript"/>
        <sz val="11"/>
        <color theme="1"/>
        <rFont val="Calibri"/>
        <family val="2"/>
        <scheme val="minor"/>
      </rPr>
      <t>1</t>
    </r>
  </si>
  <si>
    <r>
      <t>Г</t>
    </r>
    <r>
      <rPr>
        <vertAlign val="subscript"/>
        <sz val="11"/>
        <color theme="1"/>
        <rFont val="Calibri"/>
        <family val="2"/>
        <scheme val="minor"/>
      </rPr>
      <t>2</t>
    </r>
  </si>
  <si>
    <r>
      <t>СЗ</t>
    </r>
    <r>
      <rPr>
        <vertAlign val="subscript"/>
        <sz val="11"/>
        <color theme="1"/>
        <rFont val="Calibri"/>
        <family val="2"/>
        <scheme val="minor"/>
      </rPr>
      <t>3</t>
    </r>
  </si>
  <si>
    <r>
      <t>Д</t>
    </r>
    <r>
      <rPr>
        <vertAlign val="subscript"/>
        <sz val="11"/>
        <color theme="1"/>
        <rFont val="Calibri"/>
        <family val="2"/>
        <scheme val="minor"/>
      </rPr>
      <t>3</t>
    </r>
  </si>
  <si>
    <r>
      <t>М</t>
    </r>
    <r>
      <rPr>
        <vertAlign val="subscript"/>
        <sz val="11"/>
        <color theme="1"/>
        <rFont val="Calibri"/>
        <family val="2"/>
        <scheme val="minor"/>
      </rPr>
      <t>3</t>
    </r>
  </si>
  <si>
    <r>
      <t>Г</t>
    </r>
    <r>
      <rPr>
        <vertAlign val="subscript"/>
        <sz val="11"/>
        <color theme="1"/>
        <rFont val="Calibri"/>
        <family val="2"/>
        <scheme val="minor"/>
      </rPr>
      <t>3</t>
    </r>
  </si>
  <si>
    <r>
      <t>1. Если ОПВ одного из Партнеров равно совместной цели СЗ</t>
    </r>
    <r>
      <rPr>
        <b/>
        <vertAlign val="subscript"/>
        <sz val="11"/>
        <color theme="1"/>
        <rFont val="Calibri"/>
        <family val="2"/>
        <scheme val="minor"/>
      </rPr>
      <t>3</t>
    </r>
    <r>
      <rPr>
        <b/>
        <sz val="11"/>
        <color theme="1"/>
        <rFont val="Calibri"/>
        <family val="2"/>
        <scheme val="minor"/>
      </rPr>
      <t xml:space="preserve">, то отношения Кармические </t>
    </r>
  </si>
  <si>
    <t>и КАЖДЫЙ партнер отрабатывает свою ОПВ</t>
  </si>
  <si>
    <r>
      <t>Д</t>
    </r>
    <r>
      <rPr>
        <vertAlign val="subscript"/>
        <sz val="11"/>
        <color theme="1"/>
        <rFont val="Calibri"/>
        <family val="2"/>
        <scheme val="minor"/>
      </rPr>
      <t>1</t>
    </r>
    <r>
      <rPr>
        <sz val="11"/>
        <color theme="1"/>
        <rFont val="Calibri"/>
        <family val="2"/>
        <scheme val="minor"/>
      </rPr>
      <t>+Д</t>
    </r>
    <r>
      <rPr>
        <vertAlign val="subscript"/>
        <sz val="11"/>
        <color theme="1"/>
        <rFont val="Calibri"/>
        <family val="2"/>
        <scheme val="minor"/>
      </rPr>
      <t>3</t>
    </r>
  </si>
  <si>
    <r>
      <t>Д</t>
    </r>
    <r>
      <rPr>
        <vertAlign val="subscript"/>
        <sz val="11"/>
        <color theme="1"/>
        <rFont val="Calibri"/>
        <family val="2"/>
        <scheme val="minor"/>
      </rPr>
      <t>2</t>
    </r>
    <r>
      <rPr>
        <sz val="11"/>
        <color theme="1"/>
        <rFont val="Calibri"/>
        <family val="2"/>
        <scheme val="minor"/>
      </rPr>
      <t>+Д</t>
    </r>
    <r>
      <rPr>
        <vertAlign val="subscript"/>
        <sz val="11"/>
        <color theme="1"/>
        <rFont val="Calibri"/>
        <family val="2"/>
        <scheme val="minor"/>
      </rPr>
      <t>3</t>
    </r>
  </si>
  <si>
    <r>
      <t>М</t>
    </r>
    <r>
      <rPr>
        <vertAlign val="subscript"/>
        <sz val="11"/>
        <color theme="1"/>
        <rFont val="Calibri"/>
        <family val="2"/>
        <scheme val="minor"/>
      </rPr>
      <t>1</t>
    </r>
    <r>
      <rPr>
        <sz val="11"/>
        <color theme="1"/>
        <rFont val="Calibri"/>
        <family val="2"/>
        <scheme val="minor"/>
      </rPr>
      <t>+М</t>
    </r>
    <r>
      <rPr>
        <vertAlign val="subscript"/>
        <sz val="11"/>
        <color theme="1"/>
        <rFont val="Calibri"/>
        <family val="2"/>
        <scheme val="minor"/>
      </rPr>
      <t>3</t>
    </r>
  </si>
  <si>
    <r>
      <t>М</t>
    </r>
    <r>
      <rPr>
        <vertAlign val="subscript"/>
        <sz val="11"/>
        <color theme="1"/>
        <rFont val="Calibri"/>
        <family val="2"/>
        <scheme val="minor"/>
      </rPr>
      <t>2</t>
    </r>
    <r>
      <rPr>
        <sz val="11"/>
        <color theme="1"/>
        <rFont val="Calibri"/>
        <family val="2"/>
        <scheme val="minor"/>
      </rPr>
      <t>+М</t>
    </r>
    <r>
      <rPr>
        <vertAlign val="subscript"/>
        <sz val="11"/>
        <color theme="1"/>
        <rFont val="Calibri"/>
        <family val="2"/>
        <scheme val="minor"/>
      </rPr>
      <t>3</t>
    </r>
  </si>
  <si>
    <r>
      <t>Г</t>
    </r>
    <r>
      <rPr>
        <vertAlign val="subscript"/>
        <sz val="11"/>
        <color theme="1"/>
        <rFont val="Calibri"/>
        <family val="2"/>
        <scheme val="minor"/>
      </rPr>
      <t>1</t>
    </r>
    <r>
      <rPr>
        <sz val="11"/>
        <color theme="1"/>
        <rFont val="Calibri"/>
        <family val="2"/>
        <scheme val="minor"/>
      </rPr>
      <t>+Г</t>
    </r>
    <r>
      <rPr>
        <vertAlign val="subscript"/>
        <sz val="11"/>
        <color theme="1"/>
        <rFont val="Calibri"/>
        <family val="2"/>
        <scheme val="minor"/>
      </rPr>
      <t>3</t>
    </r>
  </si>
  <si>
    <r>
      <t>Г</t>
    </r>
    <r>
      <rPr>
        <vertAlign val="subscript"/>
        <sz val="11"/>
        <color theme="1"/>
        <rFont val="Calibri"/>
        <family val="2"/>
        <scheme val="minor"/>
      </rPr>
      <t>2</t>
    </r>
    <r>
      <rPr>
        <sz val="11"/>
        <color theme="1"/>
        <rFont val="Calibri"/>
        <family val="2"/>
        <scheme val="minor"/>
      </rPr>
      <t>+Г</t>
    </r>
    <r>
      <rPr>
        <vertAlign val="subscript"/>
        <sz val="11"/>
        <color theme="1"/>
        <rFont val="Calibri"/>
        <family val="2"/>
        <scheme val="minor"/>
      </rPr>
      <t>3</t>
    </r>
  </si>
  <si>
    <r>
      <t>ОПВ</t>
    </r>
    <r>
      <rPr>
        <vertAlign val="subscript"/>
        <sz val="11"/>
        <color theme="1"/>
        <rFont val="Calibri"/>
        <family val="2"/>
        <scheme val="minor"/>
      </rPr>
      <t>1</t>
    </r>
    <r>
      <rPr>
        <sz val="11"/>
        <color theme="1"/>
        <rFont val="Calibri"/>
        <family val="2"/>
        <scheme val="minor"/>
      </rPr>
      <t xml:space="preserve"> 2 Период</t>
    </r>
  </si>
  <si>
    <r>
      <t>ОПВ</t>
    </r>
    <r>
      <rPr>
        <vertAlign val="subscript"/>
        <sz val="11"/>
        <color theme="1"/>
        <rFont val="Calibri"/>
        <family val="2"/>
        <scheme val="minor"/>
      </rPr>
      <t>2</t>
    </r>
    <r>
      <rPr>
        <sz val="11"/>
        <color theme="1"/>
        <rFont val="Calibri"/>
        <family val="2"/>
        <scheme val="minor"/>
      </rPr>
      <t xml:space="preserve"> 2 Период</t>
    </r>
  </si>
  <si>
    <r>
      <t>ОПВ</t>
    </r>
    <r>
      <rPr>
        <vertAlign val="subscript"/>
        <sz val="11"/>
        <color theme="1"/>
        <rFont val="Calibri"/>
        <family val="2"/>
        <scheme val="minor"/>
      </rPr>
      <t>1</t>
    </r>
    <r>
      <rPr>
        <sz val="11"/>
        <color theme="1"/>
        <rFont val="Calibri"/>
        <family val="2"/>
        <scheme val="minor"/>
      </rPr>
      <t xml:space="preserve"> 3 Период</t>
    </r>
  </si>
  <si>
    <r>
      <t>ОПВ</t>
    </r>
    <r>
      <rPr>
        <vertAlign val="subscript"/>
        <sz val="11"/>
        <color theme="1"/>
        <rFont val="Calibri"/>
        <family val="2"/>
        <scheme val="minor"/>
      </rPr>
      <t>2</t>
    </r>
    <r>
      <rPr>
        <sz val="11"/>
        <color theme="1"/>
        <rFont val="Calibri"/>
        <family val="2"/>
        <scheme val="minor"/>
      </rPr>
      <t xml:space="preserve"> 3 Период</t>
    </r>
  </si>
  <si>
    <r>
      <t>ОПВ</t>
    </r>
    <r>
      <rPr>
        <vertAlign val="subscript"/>
        <sz val="11"/>
        <color theme="1"/>
        <rFont val="Calibri"/>
        <family val="2"/>
        <scheme val="minor"/>
      </rPr>
      <t>1</t>
    </r>
    <r>
      <rPr>
        <sz val="11"/>
        <color theme="1"/>
        <rFont val="Calibri"/>
        <family val="2"/>
        <scheme val="minor"/>
      </rPr>
      <t xml:space="preserve"> 4 Период</t>
    </r>
  </si>
  <si>
    <r>
      <t>ОПВ</t>
    </r>
    <r>
      <rPr>
        <vertAlign val="subscript"/>
        <sz val="11"/>
        <color theme="1"/>
        <rFont val="Calibri"/>
        <family val="2"/>
        <scheme val="minor"/>
      </rPr>
      <t>2</t>
    </r>
    <r>
      <rPr>
        <sz val="11"/>
        <color theme="1"/>
        <rFont val="Calibri"/>
        <family val="2"/>
        <scheme val="minor"/>
      </rPr>
      <t xml:space="preserve"> 4 Период</t>
    </r>
  </si>
  <si>
    <t xml:space="preserve">2. Если ОПВ одного из Партнеров совпало с ЕГО задачей в Партнерстве, то отношения кармические дл НЕГО. </t>
  </si>
  <si>
    <t>Отрабатывает свою ОПВ за счет жизненной энергии другого партнера. Чяхнут оба</t>
  </si>
  <si>
    <r>
      <t>СЗ</t>
    </r>
    <r>
      <rPr>
        <vertAlign val="subscript"/>
        <sz val="11"/>
        <color theme="1"/>
        <rFont val="Calibri"/>
        <family val="2"/>
        <scheme val="minor"/>
      </rPr>
      <t>1</t>
    </r>
    <r>
      <rPr>
        <sz val="11"/>
        <color theme="1"/>
        <rFont val="Calibri"/>
        <family val="2"/>
        <scheme val="minor"/>
      </rPr>
      <t>+СЗ</t>
    </r>
    <r>
      <rPr>
        <vertAlign val="subscript"/>
        <sz val="11"/>
        <color theme="1"/>
        <rFont val="Calibri"/>
        <family val="2"/>
        <scheme val="minor"/>
      </rPr>
      <t>3</t>
    </r>
  </si>
  <si>
    <r>
      <t>СЗ</t>
    </r>
    <r>
      <rPr>
        <vertAlign val="subscript"/>
        <sz val="11"/>
        <color theme="1"/>
        <rFont val="Calibri"/>
        <family val="2"/>
        <scheme val="minor"/>
      </rPr>
      <t>2</t>
    </r>
    <r>
      <rPr>
        <sz val="11"/>
        <color theme="1"/>
        <rFont val="Calibri"/>
        <family val="2"/>
        <scheme val="minor"/>
      </rPr>
      <t>+СЗ</t>
    </r>
    <r>
      <rPr>
        <vertAlign val="subscript"/>
        <sz val="11"/>
        <color theme="1"/>
        <rFont val="Calibri"/>
        <family val="2"/>
        <scheme val="minor"/>
      </rPr>
      <t>3</t>
    </r>
  </si>
  <si>
    <t>3. Если ОПВ одного из парнтеров совпало с задачей другого партнера, то отношения кармические для другого партнера,</t>
  </si>
  <si>
    <t>тот отрабатывает ОПВ первого (переброс кармы). Первый партнер благоухает</t>
  </si>
  <si>
    <t>2. Проверяем на Кармичность М3, М13, М23</t>
  </si>
  <si>
    <t>4. Если у одного из Партнеров ОПВ - 2, 3, 6, 18, 20, 22</t>
  </si>
  <si>
    <r>
      <t>Совпали с СЗ</t>
    </r>
    <r>
      <rPr>
        <b/>
        <vertAlign val="subscript"/>
        <sz val="11"/>
        <color theme="1"/>
        <rFont val="Calibri"/>
        <family val="2"/>
        <scheme val="minor"/>
      </rPr>
      <t>3</t>
    </r>
    <r>
      <rPr>
        <b/>
        <sz val="11"/>
        <color theme="1"/>
        <rFont val="Calibri"/>
        <family val="2"/>
        <scheme val="minor"/>
      </rPr>
      <t>, СЗ</t>
    </r>
    <r>
      <rPr>
        <b/>
        <vertAlign val="subscript"/>
        <sz val="11"/>
        <color theme="1"/>
        <rFont val="Calibri"/>
        <family val="2"/>
        <scheme val="minor"/>
      </rPr>
      <t>1-2</t>
    </r>
    <r>
      <rPr>
        <b/>
        <sz val="11"/>
        <color theme="1"/>
        <rFont val="Calibri"/>
        <family val="2"/>
        <scheme val="minor"/>
      </rPr>
      <t xml:space="preserve"> или СЗ</t>
    </r>
    <r>
      <rPr>
        <b/>
        <vertAlign val="subscript"/>
        <sz val="11"/>
        <color theme="1"/>
        <rFont val="Calibri"/>
        <family val="2"/>
        <scheme val="minor"/>
      </rPr>
      <t xml:space="preserve">2-1 </t>
    </r>
    <r>
      <rPr>
        <b/>
        <sz val="11"/>
        <color theme="1"/>
        <rFont val="Calibri"/>
        <family val="2"/>
        <scheme val="minor"/>
      </rPr>
      <t>- высока вероятность рождения детей с тяжелыми судьбами и/или блокировка деторождения</t>
    </r>
  </si>
  <si>
    <t>3. Проверяем на Кармичность Г3, Г13, Г23</t>
  </si>
  <si>
    <r>
      <t>5. Если СЗ</t>
    </r>
    <r>
      <rPr>
        <b/>
        <vertAlign val="subscript"/>
        <sz val="11"/>
        <color theme="1"/>
        <rFont val="Calibri"/>
        <family val="2"/>
        <scheme val="minor"/>
      </rPr>
      <t>3</t>
    </r>
    <r>
      <rPr>
        <b/>
        <sz val="11"/>
        <color theme="1"/>
        <rFont val="Calibri"/>
        <family val="2"/>
        <scheme val="minor"/>
      </rPr>
      <t>, СЗ</t>
    </r>
    <r>
      <rPr>
        <b/>
        <vertAlign val="subscript"/>
        <sz val="11"/>
        <color theme="1"/>
        <rFont val="Calibri"/>
        <family val="2"/>
        <scheme val="minor"/>
      </rPr>
      <t>1-2</t>
    </r>
    <r>
      <rPr>
        <b/>
        <sz val="11"/>
        <color theme="1"/>
        <rFont val="Calibri"/>
        <family val="2"/>
        <scheme val="minor"/>
      </rPr>
      <t xml:space="preserve"> или СЗ</t>
    </r>
    <r>
      <rPr>
        <b/>
        <vertAlign val="subscript"/>
        <sz val="11"/>
        <color theme="1"/>
        <rFont val="Calibri"/>
        <family val="2"/>
        <scheme val="minor"/>
      </rPr>
      <t>2-1</t>
    </r>
    <r>
      <rPr>
        <b/>
        <sz val="11"/>
        <color theme="1"/>
        <rFont val="Calibri"/>
        <family val="2"/>
        <scheme val="minor"/>
      </rPr>
      <t xml:space="preserve"> равны 16, то этих отношений быть не должно, не запрограммированы. Высока вероятность расстования</t>
    </r>
  </si>
  <si>
    <t>Причиной расстования станет тот у кого стоит знак 16</t>
  </si>
  <si>
    <t>4. Проверяем на Кармичность СЗ3, СЗ13, СЗ23</t>
  </si>
  <si>
    <r>
      <t>КЧХ</t>
    </r>
    <r>
      <rPr>
        <vertAlign val="subscript"/>
        <sz val="11"/>
        <color theme="1"/>
        <rFont val="Calibri"/>
        <family val="2"/>
        <scheme val="minor"/>
      </rPr>
      <t>1</t>
    </r>
  </si>
  <si>
    <r>
      <t>1 МЦ</t>
    </r>
    <r>
      <rPr>
        <vertAlign val="subscript"/>
        <sz val="11"/>
        <color theme="1"/>
        <rFont val="Calibri"/>
        <family val="2"/>
        <scheme val="minor"/>
      </rPr>
      <t>1</t>
    </r>
  </si>
  <si>
    <r>
      <t>2 МЦ</t>
    </r>
    <r>
      <rPr>
        <vertAlign val="subscript"/>
        <sz val="11"/>
        <color theme="1"/>
        <rFont val="Calibri"/>
        <family val="2"/>
        <scheme val="minor"/>
      </rPr>
      <t>1</t>
    </r>
  </si>
  <si>
    <r>
      <t>3 МЦ</t>
    </r>
    <r>
      <rPr>
        <vertAlign val="subscript"/>
        <sz val="11"/>
        <color theme="1"/>
        <rFont val="Calibri"/>
        <family val="2"/>
        <scheme val="minor"/>
      </rPr>
      <t>1</t>
    </r>
  </si>
  <si>
    <r>
      <t>1 МЦ</t>
    </r>
    <r>
      <rPr>
        <vertAlign val="subscript"/>
        <sz val="11"/>
        <color theme="1"/>
        <rFont val="Calibri"/>
        <family val="2"/>
        <scheme val="minor"/>
      </rPr>
      <t>2</t>
    </r>
  </si>
  <si>
    <r>
      <t>2 МЦ</t>
    </r>
    <r>
      <rPr>
        <vertAlign val="subscript"/>
        <sz val="11"/>
        <color theme="1"/>
        <rFont val="Calibri"/>
        <family val="2"/>
        <scheme val="minor"/>
      </rPr>
      <t>2</t>
    </r>
  </si>
  <si>
    <r>
      <t>3 МЦ</t>
    </r>
    <r>
      <rPr>
        <vertAlign val="subscript"/>
        <sz val="11"/>
        <color theme="1"/>
        <rFont val="Calibri"/>
        <family val="2"/>
        <scheme val="minor"/>
      </rPr>
      <t>2</t>
    </r>
  </si>
  <si>
    <r>
      <t>УПЖ</t>
    </r>
    <r>
      <rPr>
        <vertAlign val="subscript"/>
        <sz val="11"/>
        <color theme="1"/>
        <rFont val="Calibri"/>
        <family val="2"/>
        <scheme val="minor"/>
      </rPr>
      <t>1</t>
    </r>
  </si>
  <si>
    <r>
      <t>ТПчел</t>
    </r>
    <r>
      <rPr>
        <vertAlign val="subscript"/>
        <sz val="11"/>
        <color theme="1"/>
        <rFont val="Calibri"/>
        <family val="2"/>
        <scheme val="minor"/>
      </rPr>
      <t>1</t>
    </r>
  </si>
  <si>
    <r>
      <t>Тал Буд</t>
    </r>
    <r>
      <rPr>
        <vertAlign val="subscript"/>
        <sz val="11"/>
        <color theme="1"/>
        <rFont val="Calibri"/>
        <family val="2"/>
        <scheme val="minor"/>
      </rPr>
      <t>1</t>
    </r>
  </si>
  <si>
    <r>
      <t>УПЖ</t>
    </r>
    <r>
      <rPr>
        <vertAlign val="subscript"/>
        <sz val="11"/>
        <color theme="1"/>
        <rFont val="Calibri"/>
        <family val="2"/>
        <scheme val="minor"/>
      </rPr>
      <t>2</t>
    </r>
  </si>
  <si>
    <r>
      <t>ТПчел</t>
    </r>
    <r>
      <rPr>
        <vertAlign val="subscript"/>
        <sz val="11"/>
        <color theme="1"/>
        <rFont val="Calibri"/>
        <family val="2"/>
        <scheme val="minor"/>
      </rPr>
      <t>2</t>
    </r>
  </si>
  <si>
    <r>
      <t>Тал Буд</t>
    </r>
    <r>
      <rPr>
        <vertAlign val="subscript"/>
        <sz val="11"/>
        <color theme="1"/>
        <rFont val="Calibri"/>
        <family val="2"/>
        <scheme val="minor"/>
      </rPr>
      <t>2</t>
    </r>
  </si>
  <si>
    <r>
      <t>ЗК</t>
    </r>
    <r>
      <rPr>
        <vertAlign val="subscript"/>
        <sz val="11"/>
        <color theme="1"/>
        <rFont val="Calibri"/>
        <family val="2"/>
        <scheme val="minor"/>
      </rPr>
      <t>1</t>
    </r>
  </si>
  <si>
    <r>
      <t>ЗК</t>
    </r>
    <r>
      <rPr>
        <vertAlign val="subscript"/>
        <sz val="11"/>
        <color theme="1"/>
        <rFont val="Calibri"/>
        <family val="2"/>
        <scheme val="minor"/>
      </rPr>
      <t>2</t>
    </r>
  </si>
  <si>
    <r>
      <t>КУ</t>
    </r>
    <r>
      <rPr>
        <vertAlign val="subscript"/>
        <sz val="11"/>
        <color theme="1"/>
        <rFont val="Calibri"/>
        <family val="2"/>
        <scheme val="minor"/>
      </rPr>
      <t>1</t>
    </r>
  </si>
  <si>
    <r>
      <t>КУ</t>
    </r>
    <r>
      <rPr>
        <vertAlign val="subscript"/>
        <sz val="11"/>
        <color theme="1"/>
        <rFont val="Calibri"/>
        <family val="2"/>
        <scheme val="minor"/>
      </rPr>
      <t>2</t>
    </r>
  </si>
  <si>
    <r>
      <t>ТПчел</t>
    </r>
    <r>
      <rPr>
        <vertAlign val="subscript"/>
        <sz val="11"/>
        <color theme="1"/>
        <rFont val="Calibri"/>
        <family val="2"/>
        <scheme val="minor"/>
      </rPr>
      <t>3</t>
    </r>
  </si>
  <si>
    <r>
      <t>ЗК</t>
    </r>
    <r>
      <rPr>
        <vertAlign val="subscript"/>
        <sz val="11"/>
        <color theme="1"/>
        <rFont val="Calibri"/>
        <family val="2"/>
        <scheme val="minor"/>
      </rPr>
      <t>3</t>
    </r>
  </si>
  <si>
    <r>
      <t>ОПВ</t>
    </r>
    <r>
      <rPr>
        <vertAlign val="subscript"/>
        <sz val="11"/>
        <color theme="1"/>
        <rFont val="Calibri"/>
        <family val="2"/>
        <scheme val="minor"/>
      </rPr>
      <t>3</t>
    </r>
  </si>
  <si>
    <t>Совместно</t>
  </si>
  <si>
    <t>График Личной Жизни</t>
  </si>
  <si>
    <t>Рассчет прогностики Года</t>
  </si>
  <si>
    <t>Расчет Дня</t>
  </si>
  <si>
    <t>- год на который делать прогностику</t>
  </si>
  <si>
    <t>Солярно</t>
  </si>
  <si>
    <t>Число дней</t>
  </si>
  <si>
    <t>Месяц Рождения</t>
  </si>
  <si>
    <t>Прогностика Дня</t>
  </si>
  <si>
    <t>Год Рождения</t>
  </si>
  <si>
    <t>Кармичность</t>
  </si>
  <si>
    <t>Тень Кармы</t>
  </si>
  <si>
    <t>Имя Человека</t>
  </si>
  <si>
    <t>1. Западная школа</t>
  </si>
  <si>
    <t>ХК +</t>
  </si>
  <si>
    <t>Возраст</t>
  </si>
  <si>
    <t>2. Таронумерология</t>
  </si>
  <si>
    <t>ХК-</t>
  </si>
  <si>
    <t>Прогностика Года</t>
  </si>
  <si>
    <t>до</t>
  </si>
  <si>
    <t>Хвост Кармы</t>
  </si>
  <si>
    <t>Если одно из значений расчетов совпало с одной из ОПВ или ГЧК-, второе число переворачивается</t>
  </si>
  <si>
    <t>Если одно из значений Тени Кармы совпало с одной из ОПВ или ГЧК-, второе число НЕ переворачивается</t>
  </si>
  <si>
    <t xml:space="preserve">Прогностика Месяцев </t>
  </si>
  <si>
    <t>года</t>
  </si>
  <si>
    <t>Январь</t>
  </si>
  <si>
    <t>Февраль</t>
  </si>
  <si>
    <t>Март</t>
  </si>
  <si>
    <t>Апрель</t>
  </si>
  <si>
    <t>Май</t>
  </si>
  <si>
    <t>Июнь</t>
  </si>
  <si>
    <t>Июль</t>
  </si>
  <si>
    <t>Август</t>
  </si>
  <si>
    <t>Сентябрь</t>
  </si>
  <si>
    <t>Октябрь</t>
  </si>
  <si>
    <t>Ноябрь</t>
  </si>
  <si>
    <t>Декабрь</t>
  </si>
  <si>
    <t>после</t>
  </si>
  <si>
    <t>Год для расчета</t>
  </si>
  <si>
    <t>Прогностика Месяца Рождения ДО Дня Рождения</t>
  </si>
  <si>
    <t>Ретроградность</t>
  </si>
  <si>
    <t>Кол-во</t>
  </si>
  <si>
    <t>MK</t>
  </si>
  <si>
    <t>MKист</t>
  </si>
  <si>
    <t>Финансовый Поток Партнер 1</t>
  </si>
  <si>
    <t>Финансовый Поток Партнер 2</t>
  </si>
  <si>
    <t>1 - Да, 0 - Нет</t>
  </si>
  <si>
    <t>График Карьеры и Личной Жизни</t>
  </si>
  <si>
    <t>График Карьеры</t>
  </si>
  <si>
    <t>График Личной жизни</t>
  </si>
  <si>
    <t>Карма</t>
  </si>
  <si>
    <t>+</t>
  </si>
  <si>
    <t xml:space="preserve">* </t>
  </si>
  <si>
    <t>Судьба</t>
  </si>
  <si>
    <t>ДеньМесяц</t>
  </si>
  <si>
    <t>*</t>
  </si>
  <si>
    <t>Мкист</t>
  </si>
  <si>
    <t>* 35</t>
  </si>
  <si>
    <t>График Финансового Потока</t>
  </si>
  <si>
    <t>Год * 52</t>
  </si>
  <si>
    <t>График Самореализации</t>
  </si>
  <si>
    <t>Периоды Графика Самореализации</t>
  </si>
  <si>
    <t>Года Жизни</t>
  </si>
  <si>
    <t>Точки</t>
  </si>
  <si>
    <t>Направление</t>
  </si>
  <si>
    <t>Уровень</t>
  </si>
  <si>
    <t>1 Период - Первая эмоциональная зрелость</t>
  </si>
  <si>
    <t>2 Период - Психологическая готовность к семейной жизни</t>
  </si>
  <si>
    <t>3 Период - Достижение профессионального мастерства</t>
  </si>
  <si>
    <t>4 Период - Достижение стабильности и достатка</t>
  </si>
  <si>
    <t>5 Период - Кардинальное изменение планов, новый путь</t>
  </si>
  <si>
    <t>6 Период - Достижение мудрости, анализ полученного опыта</t>
  </si>
  <si>
    <t>7 Период - Уровень зависимости от других людей</t>
  </si>
  <si>
    <t>Начало</t>
  </si>
  <si>
    <t>Центр</t>
  </si>
  <si>
    <t>Конец</t>
  </si>
  <si>
    <t>Меркурий</t>
  </si>
  <si>
    <t>Венера</t>
  </si>
  <si>
    <t>Марс</t>
  </si>
  <si>
    <t>Юпитер</t>
  </si>
  <si>
    <t>Сатурн</t>
  </si>
  <si>
    <t>Уран</t>
  </si>
  <si>
    <t>Нептун</t>
  </si>
  <si>
    <t>Расписание Ангелов</t>
  </si>
  <si>
    <t>Прогностика Партнеров на</t>
  </si>
  <si>
    <t>год</t>
  </si>
  <si>
    <t>Запад</t>
  </si>
  <si>
    <t>Таро</t>
  </si>
  <si>
    <t>Пересечения</t>
  </si>
  <si>
    <r>
      <t>ГЧК</t>
    </r>
    <r>
      <rPr>
        <vertAlign val="subscript"/>
        <sz val="11"/>
        <color theme="1"/>
        <rFont val="Calibri"/>
        <family val="2"/>
        <scheme val="minor"/>
      </rPr>
      <t>1</t>
    </r>
    <r>
      <rPr>
        <sz val="11"/>
        <color theme="1"/>
        <rFont val="Calibri"/>
        <family val="2"/>
        <scheme val="minor"/>
      </rPr>
      <t>-</t>
    </r>
  </si>
  <si>
    <r>
      <t>ГЧК</t>
    </r>
    <r>
      <rPr>
        <vertAlign val="subscript"/>
        <sz val="11"/>
        <color theme="1"/>
        <rFont val="Calibri"/>
        <family val="2"/>
        <scheme val="minor"/>
      </rPr>
      <t>2</t>
    </r>
    <r>
      <rPr>
        <sz val="11"/>
        <color theme="1"/>
        <rFont val="Calibri"/>
        <family val="2"/>
        <scheme val="minor"/>
      </rPr>
      <t>-</t>
    </r>
  </si>
  <si>
    <t>Тень</t>
  </si>
  <si>
    <t>Кармично?</t>
  </si>
  <si>
    <t>Имя</t>
  </si>
  <si>
    <r>
      <t xml:space="preserve">Мантический Крест </t>
    </r>
    <r>
      <rPr>
        <b/>
        <sz val="18"/>
        <color theme="1"/>
        <rFont val="Calibri"/>
        <family val="2"/>
      </rPr>
      <t>©</t>
    </r>
  </si>
  <si>
    <t>График Кармы</t>
  </si>
  <si>
    <t>График Партнерства</t>
  </si>
  <si>
    <t>Период</t>
  </si>
  <si>
    <t>Норма</t>
  </si>
  <si>
    <t>Year</t>
  </si>
  <si>
    <t>Period</t>
  </si>
  <si>
    <t>Level</t>
  </si>
  <si>
    <t>Фамилия</t>
  </si>
  <si>
    <t>Отчество</t>
  </si>
  <si>
    <t>Карта рождения человека</t>
  </si>
  <si>
    <t>Карта имени человека</t>
  </si>
  <si>
    <t>Китайская дата</t>
  </si>
  <si>
    <t>Карта подсознания человека</t>
  </si>
  <si>
    <t>Карта Рождения с Именем</t>
  </si>
  <si>
    <t>Квадрат Пифогора</t>
  </si>
  <si>
    <t>Карта Инклюзий</t>
  </si>
  <si>
    <t>ПЗ</t>
  </si>
  <si>
    <t>КЗ</t>
  </si>
  <si>
    <t>МК</t>
  </si>
  <si>
    <t>Цель</t>
  </si>
  <si>
    <t>Мужской</t>
  </si>
  <si>
    <t>Женский</t>
  </si>
  <si>
    <t>http://humandes.ru/astroserviceprog.html</t>
  </si>
  <si>
    <t>http://лошу.рф/</t>
  </si>
  <si>
    <r>
      <t>МЦ</t>
    </r>
    <r>
      <rPr>
        <vertAlign val="subscript"/>
        <sz val="11"/>
        <color theme="1"/>
        <rFont val="Calibri"/>
        <family val="2"/>
        <scheme val="minor"/>
      </rPr>
      <t>1</t>
    </r>
  </si>
  <si>
    <r>
      <t>МЦ</t>
    </r>
    <r>
      <rPr>
        <vertAlign val="subscript"/>
        <sz val="11"/>
        <color theme="1"/>
        <rFont val="Calibri"/>
        <family val="2"/>
        <scheme val="minor"/>
      </rPr>
      <t>2</t>
    </r>
  </si>
  <si>
    <r>
      <t>МЦ</t>
    </r>
    <r>
      <rPr>
        <vertAlign val="subscript"/>
        <sz val="11"/>
        <color theme="1"/>
        <rFont val="Calibri"/>
        <family val="2"/>
        <scheme val="minor"/>
      </rPr>
      <t>3</t>
    </r>
  </si>
  <si>
    <t>Энергия Архангела</t>
  </si>
  <si>
    <t>Энергия рода</t>
  </si>
  <si>
    <t>Энергия Рода</t>
  </si>
  <si>
    <t>Норма 26-28</t>
  </si>
  <si>
    <t>Жен фамилия</t>
  </si>
  <si>
    <t>Муж. фамилия</t>
  </si>
  <si>
    <t>Число индивидуальности</t>
  </si>
  <si>
    <t xml:space="preserve">Число желания сердца </t>
  </si>
  <si>
    <t xml:space="preserve">Число выражения </t>
  </si>
  <si>
    <r>
      <t xml:space="preserve"> МЦ</t>
    </r>
    <r>
      <rPr>
        <vertAlign val="subscript"/>
        <sz val="11"/>
        <color theme="1"/>
        <rFont val="Calibri"/>
        <family val="2"/>
        <scheme val="minor"/>
      </rPr>
      <t>1доп</t>
    </r>
  </si>
  <si>
    <t>Дата</t>
  </si>
  <si>
    <t>Процент</t>
  </si>
  <si>
    <t>Планета</t>
  </si>
  <si>
    <t>Доп планета</t>
  </si>
  <si>
    <t>Доп задача</t>
  </si>
  <si>
    <t>Солнце</t>
  </si>
  <si>
    <t xml:space="preserve"> </t>
  </si>
  <si>
    <t>Луна</t>
  </si>
  <si>
    <t>Доп Планета</t>
  </si>
  <si>
    <t>% Выполнения</t>
  </si>
  <si>
    <t>Определение пола в прошлой жизни</t>
  </si>
  <si>
    <t>Четные</t>
  </si>
  <si>
    <t>Нечетные</t>
  </si>
  <si>
    <t>Номер Урока</t>
  </si>
  <si>
    <t>А</t>
  </si>
  <si>
    <t>B</t>
  </si>
  <si>
    <t>C</t>
  </si>
  <si>
    <t>D</t>
  </si>
  <si>
    <t>Любовь</t>
  </si>
  <si>
    <t>Разум</t>
  </si>
  <si>
    <t>Финансы</t>
  </si>
  <si>
    <t>Талант</t>
  </si>
  <si>
    <t>Уроки</t>
  </si>
  <si>
    <t>Этап</t>
  </si>
  <si>
    <t>Начало пути</t>
  </si>
  <si>
    <t>Взаимодействие</t>
  </si>
  <si>
    <t>Поиск баланса</t>
  </si>
  <si>
    <t>Стабильность</t>
  </si>
  <si>
    <t>Изменения</t>
  </si>
  <si>
    <t>Отработка Кармы</t>
  </si>
  <si>
    <t>Преодоление</t>
  </si>
  <si>
    <t>Успех</t>
  </si>
  <si>
    <t>Завершение</t>
  </si>
  <si>
    <t>Удача</t>
  </si>
  <si>
    <t>Служение</t>
  </si>
  <si>
    <t>Жертвенность</t>
  </si>
  <si>
    <t>Экзамен</t>
  </si>
  <si>
    <t>ВЕСНА</t>
  </si>
  <si>
    <t>ЛЕТО</t>
  </si>
  <si>
    <t>ОСЕНЬ</t>
  </si>
  <si>
    <t>ЗИМА</t>
  </si>
  <si>
    <t>ВИТКИ РАЗВИТИЯ</t>
  </si>
  <si>
    <t>I Этап</t>
  </si>
  <si>
    <t>II Этап</t>
  </si>
  <si>
    <t>III Этап</t>
  </si>
  <si>
    <t>Матричное время года на этапе Развития Души</t>
  </si>
  <si>
    <t>ВОДА</t>
  </si>
  <si>
    <t>ВОЗДУХ</t>
  </si>
  <si>
    <t>ЗЕМЛЯ</t>
  </si>
  <si>
    <t>ОГОНЬ</t>
  </si>
  <si>
    <t>Стихии (первоэлементы) витков Развития Души</t>
  </si>
  <si>
    <t>Характеристика витка</t>
  </si>
  <si>
    <t>Прохождение Развития по Космическим законам</t>
  </si>
  <si>
    <t>Метоциклы</t>
  </si>
  <si>
    <t>Критические точки</t>
  </si>
  <si>
    <t>Критическая точка МЦ1</t>
  </si>
  <si>
    <t>1я критическая точка МЦ3</t>
  </si>
  <si>
    <t>2я критическая точка МЦ3</t>
  </si>
  <si>
    <t>3я критическая точка МЦ3</t>
  </si>
  <si>
    <t>4я критическая точка МЦ3</t>
  </si>
  <si>
    <t>5я критическая точка МЦ3</t>
  </si>
  <si>
    <t>1-й Метоцикл (МЦ1)</t>
  </si>
  <si>
    <t>2-й Метоцикл (МЦ2)</t>
  </si>
  <si>
    <t>3-й Метоцикл (МЦ3)</t>
  </si>
  <si>
    <t>Введите буквы Алфавита</t>
  </si>
  <si>
    <t>Введите все Гласные</t>
  </si>
  <si>
    <t>АБВГДЕЁЖЗИЙКЛМНОПРСТУФХЦЧШЩЪЫЬЭЮЯ</t>
  </si>
  <si>
    <t>Русский</t>
  </si>
  <si>
    <t>АУОЫИЭЯЮЁЕ</t>
  </si>
  <si>
    <t>Английский</t>
  </si>
  <si>
    <t>ABCDEFGHIJKLMNOPQRSTUVWXYZ</t>
  </si>
  <si>
    <t>AÄBCDEFGHIJKLMNOÖPQRSẞTUÜVWXYZ</t>
  </si>
  <si>
    <t>Немецкий</t>
  </si>
  <si>
    <t>AÄEIOÖUÜY</t>
  </si>
  <si>
    <t>AEIOUY</t>
  </si>
  <si>
    <t>Гласные</t>
  </si>
  <si>
    <t>Дышлов</t>
  </si>
  <si>
    <t>Украинский</t>
  </si>
  <si>
    <t xml:space="preserve">АЕЄИІЇОУЮЯ </t>
  </si>
  <si>
    <t>АБВГҐДЕЄЖЗИІЇЙКЛМНОПРСТУФХЦЧШЩЬЮЯ</t>
  </si>
  <si>
    <t>AĄBCČDEĘĖFGHIĮYJKLMNOPRSŠTUŲŪVZŽ</t>
  </si>
  <si>
    <t>Литовский</t>
  </si>
  <si>
    <t>AĄEĘĖIĮYOUŲŪ</t>
  </si>
  <si>
    <t>Потенциал богатства</t>
  </si>
  <si>
    <t xml:space="preserve">Коэффициент Застоя </t>
  </si>
  <si>
    <t>является зоной дискомфорта человека</t>
  </si>
  <si>
    <t>Главная проблема человека</t>
  </si>
  <si>
    <t>График Застоя</t>
  </si>
  <si>
    <t>* Кзастоя</t>
  </si>
  <si>
    <t>* Чилсо Индив Род</t>
  </si>
  <si>
    <t>Воля</t>
  </si>
  <si>
    <r>
      <t>Год</t>
    </r>
    <r>
      <rPr>
        <vertAlign val="superscript"/>
        <sz val="11"/>
        <color theme="1"/>
        <rFont val="Calibri"/>
        <family val="2"/>
        <scheme val="minor"/>
      </rPr>
      <t>1</t>
    </r>
  </si>
  <si>
    <r>
      <t>Д</t>
    </r>
    <r>
      <rPr>
        <vertAlign val="superscript"/>
        <sz val="11"/>
        <color theme="1"/>
        <rFont val="Calibri"/>
        <family val="2"/>
        <scheme val="minor"/>
      </rPr>
      <t>1</t>
    </r>
    <r>
      <rPr>
        <sz val="11"/>
        <color theme="1"/>
        <rFont val="Calibri"/>
        <family val="2"/>
        <scheme val="minor"/>
      </rPr>
      <t>М</t>
    </r>
    <r>
      <rPr>
        <vertAlign val="superscript"/>
        <sz val="11"/>
        <color theme="1"/>
        <rFont val="Calibri"/>
        <family val="2"/>
        <scheme val="minor"/>
      </rPr>
      <t>1</t>
    </r>
  </si>
  <si>
    <t>1. Проверяем на Кармичность Д3, Д13, Д23</t>
  </si>
  <si>
    <t>Текущий</t>
  </si>
  <si>
    <t>Число</t>
  </si>
  <si>
    <t>Годичные Циклы</t>
  </si>
  <si>
    <t>Объединение Карт</t>
  </si>
  <si>
    <t>Белорусский</t>
  </si>
  <si>
    <t>АБВГДЕЁЖЗІЙКЛМНОПРСТУЎФХЦЧШЫЬЭЮЯ</t>
  </si>
  <si>
    <t>АОУІЭЫЯЕЁЮ</t>
  </si>
  <si>
    <t>AĀBCČDEĒFGĢHIĪJKĶLĻMNŅOPRSŠTUŪVZŽ</t>
  </si>
  <si>
    <t>AĀEĒIĪOUŪ</t>
  </si>
  <si>
    <t>Латышский</t>
  </si>
  <si>
    <t>АӘБВГҒДЕЁЖЗИЙКҚЛМНҢОӨПРСТУҰҮФХҺЦЧШЩЪЫІЬЭЮЯ</t>
  </si>
  <si>
    <t>Казахский алфавит</t>
  </si>
  <si>
    <t>АӘЕЁИОӨУҰҮЫІЭЮЯ</t>
  </si>
  <si>
    <t>975-52-47</t>
  </si>
  <si>
    <t>МКист</t>
  </si>
  <si>
    <t>Год Рож</t>
  </si>
  <si>
    <t>Конст</t>
  </si>
  <si>
    <t>Уровень физического тела</t>
  </si>
  <si>
    <t>Уровень астрального тела</t>
  </si>
  <si>
    <t>Уровень ментального тела</t>
  </si>
  <si>
    <t>1 - Канал Общественной Жизни</t>
  </si>
  <si>
    <t>2 - Канал Интуиции</t>
  </si>
  <si>
    <t>3 - Канала Таланта и Саморазвития</t>
  </si>
  <si>
    <t>4 - Канал Профессиональной Жизни</t>
  </si>
  <si>
    <t>5 - Канал Личности человека</t>
  </si>
  <si>
    <t>6 - Канал Семейной жизни</t>
  </si>
  <si>
    <t>7 - Канал Жизненного Опыта</t>
  </si>
  <si>
    <t>8 - Канал Духовности</t>
  </si>
  <si>
    <t>9 - Канал Экстрасенсорики</t>
  </si>
  <si>
    <t>Телефон в Аркан</t>
  </si>
  <si>
    <t>Вектор Аналитика</t>
  </si>
  <si>
    <t>Мах = 6</t>
  </si>
  <si>
    <t>Вектор Семьи</t>
  </si>
  <si>
    <t>Вектор Гармонии</t>
  </si>
  <si>
    <t>Вектор Вождя</t>
  </si>
  <si>
    <t>Вектор Адаптивности</t>
  </si>
  <si>
    <t>Вектор Взаимодействия</t>
  </si>
  <si>
    <t>Вектор Озарения</t>
  </si>
  <si>
    <t>Вектор Духовности</t>
  </si>
  <si>
    <t>Вектор Стратега</t>
  </si>
  <si>
    <t>Вектор Наставника</t>
  </si>
  <si>
    <t>Вектор Спокойствия</t>
  </si>
  <si>
    <t>Вектор Жреца</t>
  </si>
  <si>
    <t>Вектор Профессионала</t>
  </si>
  <si>
    <t>Вектор Внимания</t>
  </si>
  <si>
    <t>Вектор Отваги</t>
  </si>
  <si>
    <t>Вектор Ответственности</t>
  </si>
  <si>
    <t>Мах = 4</t>
  </si>
  <si>
    <t>Мах = 5</t>
  </si>
  <si>
    <t>Вектор Опыта</t>
  </si>
  <si>
    <t>Вектор Новатора</t>
  </si>
  <si>
    <t>Вектор Возможности</t>
  </si>
  <si>
    <t>Вектор Защитника</t>
  </si>
  <si>
    <t>Вектор Заботливости</t>
  </si>
  <si>
    <t>Вектор Мира</t>
  </si>
  <si>
    <t>Вектор</t>
  </si>
  <si>
    <t>Есть</t>
  </si>
  <si>
    <t>Лилит</t>
  </si>
  <si>
    <t>ЧЖП</t>
  </si>
  <si>
    <t>IV</t>
  </si>
  <si>
    <t>Линии Силы Карты Рождения</t>
  </si>
  <si>
    <t>Линия эмоционального равновесия (2, 5, 8)</t>
  </si>
  <si>
    <t>Линия активности (7, 8, 9)</t>
  </si>
  <si>
    <t>Линия решительности (1, 5, 9)</t>
  </si>
  <si>
    <t>Линия сострадания (3, 5, 7)</t>
  </si>
  <si>
    <t>Линии Слабости Карты Рождения</t>
  </si>
  <si>
    <t>Линия эмоциональной чувствительности ( 2, 5, 8)</t>
  </si>
  <si>
    <t>Линия интуиции (3, 6, 9)</t>
  </si>
  <si>
    <t>Линия разочарований (4, 5, 6)</t>
  </si>
  <si>
    <t>Линия неуверенности (7, 8, 9)</t>
  </si>
  <si>
    <t>Линия нерешительности (1, 5, 9)</t>
  </si>
  <si>
    <t>Линия скептицизма (отсутствие 3, 5, 7)</t>
  </si>
  <si>
    <t>Углы Силы (без Имени)</t>
  </si>
  <si>
    <t>1, 4, 7, 8, 9 – угол меркантильности</t>
  </si>
  <si>
    <t>1, 2, 3, 6, 9 – угол стратега</t>
  </si>
  <si>
    <t>Стрелы Силы Мантического Календаря</t>
  </si>
  <si>
    <t>Стрела Процветания (Бизнеса) (1, 6, 8)</t>
  </si>
  <si>
    <t>Стрела Семейной гармонии (Покоя)  3,5,7</t>
  </si>
  <si>
    <t>Стрела Интеллекта (Ума) 4, 9, 2</t>
  </si>
  <si>
    <t>Стрела Стратегии (Расчета) 4, 3, 8</t>
  </si>
  <si>
    <t>Стрела Настойчивости (Характера) 1, 5, 9</t>
  </si>
  <si>
    <t>Стрела Действия (Суетливости) 2, 7, 6</t>
  </si>
  <si>
    <t>Стрела Решительности (Риска) 2, 5, 8</t>
  </si>
  <si>
    <t>Стрела Консультирования 4, 5, 6</t>
  </si>
  <si>
    <t>Стрелы Слабости Мантического календаря</t>
  </si>
  <si>
    <t>Стрела Исполнителя  8, 1, 6</t>
  </si>
  <si>
    <t>Стрела Независимости (Одиночества) 3, 5, 7</t>
  </si>
  <si>
    <t>Стрела Депрессии (Безволия) 9, 5, 1</t>
  </si>
  <si>
    <t>Стрела Робости  2, 5, 8</t>
  </si>
  <si>
    <t>Малые Стрелы Силы</t>
  </si>
  <si>
    <t>Стрела Ученого 1, 7</t>
  </si>
  <si>
    <t>Стрела Эзотерика 7, 9</t>
  </si>
  <si>
    <t>Стрела Судьи 9 и 3</t>
  </si>
  <si>
    <t>Стрела Хитрости и Деталей (Преступника)</t>
  </si>
  <si>
    <t>Линия практичности</t>
  </si>
  <si>
    <t>Линия ума</t>
  </si>
  <si>
    <t>Линия планирования</t>
  </si>
  <si>
    <t>Линия силы воли</t>
  </si>
  <si>
    <t>Линия послушания</t>
  </si>
  <si>
    <t>Изолированные Цифры</t>
  </si>
  <si>
    <t>Изолированная 1</t>
  </si>
  <si>
    <t>Изолированная 3</t>
  </si>
  <si>
    <t>Изолированная 7</t>
  </si>
  <si>
    <t>Изолированная 9</t>
  </si>
  <si>
    <t>Чакровый Квадрат</t>
  </si>
  <si>
    <t>Начало Меркурия</t>
  </si>
  <si>
    <t xml:space="preserve"> Меркурий ↗</t>
  </si>
  <si>
    <t>Центр Меркурия</t>
  </si>
  <si>
    <t>Конец Меркурия</t>
  </si>
  <si>
    <t xml:space="preserve">Меркурий ↘ </t>
  </si>
  <si>
    <t>Начало Венеры</t>
  </si>
  <si>
    <t>Венера ↗</t>
  </si>
  <si>
    <t>Центр Венеры</t>
  </si>
  <si>
    <t>Конец Венеры</t>
  </si>
  <si>
    <t xml:space="preserve">Венера ↘ </t>
  </si>
  <si>
    <t>Начало Марса</t>
  </si>
  <si>
    <t>Центр Марса</t>
  </si>
  <si>
    <t>Конец Марса</t>
  </si>
  <si>
    <t xml:space="preserve">Марс ↘ </t>
  </si>
  <si>
    <t>Начало Юпитера</t>
  </si>
  <si>
    <t>Юпитер ↗</t>
  </si>
  <si>
    <t>Центр Юпитера</t>
  </si>
  <si>
    <t>Конец Юпитера</t>
  </si>
  <si>
    <t xml:space="preserve">Юпитер ↘ </t>
  </si>
  <si>
    <t>Начало Сатурна</t>
  </si>
  <si>
    <t>Сатурн ↗</t>
  </si>
  <si>
    <t>Центр Сатурна</t>
  </si>
  <si>
    <t>Конец Сатурна</t>
  </si>
  <si>
    <t xml:space="preserve">Сатурн ↘ </t>
  </si>
  <si>
    <t>Начало Урана</t>
  </si>
  <si>
    <t xml:space="preserve">Уран ↗ </t>
  </si>
  <si>
    <t>Центр Урана</t>
  </si>
  <si>
    <t>Конец Урана</t>
  </si>
  <si>
    <t xml:space="preserve">Уран ↘ </t>
  </si>
  <si>
    <t>Начало Нептуна</t>
  </si>
  <si>
    <t>Центр Нептуна</t>
  </si>
  <si>
    <t>Конец Нептуна</t>
  </si>
  <si>
    <t xml:space="preserve">Нептун ↘ </t>
  </si>
  <si>
    <t>Румынский алфавит</t>
  </si>
  <si>
    <t>AĂÂBCDEFGHIÎJKLMNOPQRSȘTȚUVWXYZ</t>
  </si>
  <si>
    <t>AĂÂEIÎOU</t>
  </si>
  <si>
    <t>Lesson Number</t>
  </si>
  <si>
    <t>PHASE OF DEVELOPMENT</t>
  </si>
  <si>
    <t>Love</t>
  </si>
  <si>
    <t>Mind</t>
  </si>
  <si>
    <t>Finances</t>
  </si>
  <si>
    <t>Talent</t>
  </si>
  <si>
    <t>Passage of Development by Cosmic Laws</t>
  </si>
  <si>
    <t>Lessons</t>
  </si>
  <si>
    <t>Phase</t>
  </si>
  <si>
    <t>Beginning</t>
  </si>
  <si>
    <t>Interaction</t>
  </si>
  <si>
    <t>Finding balance</t>
  </si>
  <si>
    <t>Stability</t>
  </si>
  <si>
    <t>Changes</t>
  </si>
  <si>
    <t>Karma Returns</t>
  </si>
  <si>
    <t>Overcoming</t>
  </si>
  <si>
    <t>Success</t>
  </si>
  <si>
    <t>Completion</t>
  </si>
  <si>
    <t>Luck</t>
  </si>
  <si>
    <t>Service</t>
  </si>
  <si>
    <t>Sacrifice</t>
  </si>
  <si>
    <t>Exam</t>
  </si>
  <si>
    <t xml:space="preserve">SPRING
</t>
  </si>
  <si>
    <t>SUMMER</t>
  </si>
  <si>
    <t>FALL</t>
  </si>
  <si>
    <t>WINTER</t>
  </si>
  <si>
    <t>Characteristic of phase</t>
  </si>
  <si>
    <t>WATER</t>
  </si>
  <si>
    <t>AIR</t>
  </si>
  <si>
    <t>EARTH</t>
  </si>
  <si>
    <t>FIRE</t>
  </si>
  <si>
    <t>I Phase</t>
  </si>
  <si>
    <t>II Phase</t>
  </si>
  <si>
    <t>III Phase</t>
  </si>
  <si>
    <t>Matrix season at the stage of Soul Development</t>
  </si>
  <si>
    <t>Elements (primary elements) of the Soul Development phases</t>
  </si>
  <si>
    <t>Страны</t>
  </si>
  <si>
    <t>Австрия, Алжир, Ангола, Ботсвана, Нагорно-Карабахская Республика, Нидерланды, Пакистан, Португалия</t>
  </si>
  <si>
    <t>Боливия, Замбия, Испания, Мальдивы, Украина</t>
  </si>
  <si>
    <t>Абхазия, Индонезия, Исландия, Йемен, Кокосовые острова, Маврикий, Непал, Норфолк остров, Руанда, Сербия, Синт-Эстатиус, Уругвай, Чехия</t>
  </si>
  <si>
    <t>Бельгия, Вьетнам, Гвинея, Гренландия, Острова Кайман, КНДР, Лихтенштейн, Монтсеррат, Мьянма, Нигер, Папуа — Новая Гвинея, Перу, Словакия, Суринам, Токелау</t>
  </si>
  <si>
    <t>Афганистан, Бермудские Острова, Гватемала, Гернси, Египет, Кюрасао, Лесото, Рождества остров, Саба, Сейшельские Острова, Турция, Эстония, Южная Осетия</t>
  </si>
  <si>
    <t>Австралия, Азербайджан, Барбадос, Бруней, Израиль, Коморские Острова, Коста-Рика, Сенегал, Сен-Пьер и Микелон, США, Англия</t>
  </si>
  <si>
    <t>Бурунди, Доминика, Зимбабве, Казахстан, Либерия, Малайзия, Мартиника, Монако, Никарагуа, Парагвай</t>
  </si>
  <si>
    <t>Бонэйр, Великобритания, Джерси, Маршалловы Острова, Саудовская Аравия, Швеция</t>
  </si>
  <si>
    <t>Бахрейн, Гаити, ДНР, Колумбия, Куба, Мадагаскар, Микронезия, Полинезия Французская, Польша, Пуэрто Рико, Таджикистан, Фареры, Эфиопия</t>
  </si>
  <si>
    <t>Багамские Острова, Гренада, Греция, Грузия, Камбоджа, Молдавия, ПМР, Россия, Румыния, Сент-Люсия, Танзания, Тринидад и Тобаго, Эквадор</t>
  </si>
  <si>
    <t>Босния и Герцеговина, Бразилия, Гибралтар, Ирландия, Камерун, КНР, Литва, Мали, Мозамбик, Нигерия, Сингапур, Франция, Шри-Ланка, Экваториальная Гвинея</t>
  </si>
  <si>
    <t>Армения, Болгария, Венесуэла, Гана, Гвинея-Бисау, Северный Кипр, Киргизия, Кот-д’Ивуар, Сальвадор, Словения, Узбекистан, Хорватия, ЮАР, Япония</t>
  </si>
  <si>
    <t>Венгрия, Гваделупа, Гуам, Лаос, Мавритания, Марокко, Соломоновы Острова, Тунис, Филиппины, Чад, Чили</t>
  </si>
  <si>
    <t>Аландские острова, Аргентина, Бутан, Гондурас, Иордания, Ирак, Ниуэ, Свазиленд, Сьерра-Леоне, Фолклендские острова, ЦАР</t>
  </si>
  <si>
    <t>Бангладеш, Гайана, Гонконг, Италия, Ливан, Ливия, Малави, Мэн, ОАЭ, Самоа, Сан-Марино, Северные Марианские острова, Сент-Винсент и Гренадины, Эритрея</t>
  </si>
  <si>
    <t>Андорра, Аруба, Буркина-Фасо, Гвиана, Германия, Катар, Южная Корея, Мальта, Судан, Тувалу</t>
  </si>
  <si>
    <t>Ватикан, Восточный Тимор, Иран, Канада, Латвия, Макао, Новая Зеландия, Палау, Синт-Мартен, Финляндия, Южный Судан</t>
  </si>
  <si>
    <t>Белоруссия, Доминиканская Республика, Тайвань, Конго, Кука острова, Македония, Монголия, Новая Каледония, Сент-Китс и Невис, Сирия, Тёркс и Кайкос, Уоллис и Футуна, Черногория, Ямайка</t>
  </si>
  <si>
    <t>Вануату, Гамбия, Дания, Индия, Кувейт, Оман, Питкэрн острова, Сомали, Туркмения, Фиджи</t>
  </si>
  <si>
    <t>Антигуа и Барбуда, Габон, Кабо-Верде, Кирибати, ЛНР, Люксембург, Майотта, Мексика, Норвегия, Реюньон, Самоа Американское, Сан-Томе и Принсипи, Сен-Мартен, Таиланд, Того, Тонга, Уганда, Швейцария</t>
  </si>
  <si>
    <t>Албания, Бенин, Виргинские Острова, Кипр, САДР</t>
  </si>
  <si>
    <t>Англия, Белиз, Джибути, Кения, Республика Косово, Намибия, Науру, Панама, Отров Святой Елены</t>
  </si>
  <si>
    <t>Кармические должники прошлых воплощений</t>
  </si>
  <si>
    <t>Ваши должники</t>
  </si>
  <si>
    <t>31 декабря</t>
  </si>
  <si>
    <t>30 декабря</t>
  </si>
  <si>
    <t>29 декабря</t>
  </si>
  <si>
    <t>30 ноября, 28 декабря</t>
  </si>
  <si>
    <t>31 октября, 29 ноября, 27 декабря</t>
  </si>
  <si>
    <t>30 октября, 28 ноября, 26 декабря</t>
  </si>
  <si>
    <t>29 октября, 27 ноября, 25 декабря</t>
  </si>
  <si>
    <t>30 сентября,28 октября, 26 ноября, 24 декабря</t>
  </si>
  <si>
    <t>31 августа, 29 сентября, 27 октября, 25 ноября, 23 декабря</t>
  </si>
  <si>
    <t>30 августа, 28 сентября, 26 октября, 24 ноября, 22 декабря</t>
  </si>
  <si>
    <t>31 июля, 29 августа, 27 сентября, 25 октября, 23 ноября, 21 декабря</t>
  </si>
  <si>
    <t>30 июля, 28 августа, 26 сентября, 24 октября, 22 ноября, 20 декабря</t>
  </si>
  <si>
    <t>29 июля, 27 августа, 25 сентября, 23 октября, 21 ноября, 19 декабря</t>
  </si>
  <si>
    <t>30 июня, 28 июля, 26 августа, 24 сентября,22 октября, 20 ноября, 18 декабря</t>
  </si>
  <si>
    <t>31 мая, 29 июня, 27 июля, 25 августа, 23 сентября,21 октября, 19 ноября, 17 декабря</t>
  </si>
  <si>
    <t>30 мая, 28 июня, 26 июля, 24 августа, 22 сентября,20 октября, 18 ноября, 16 декабря</t>
  </si>
  <si>
    <t>29 мая, 27 июня, 25 июля, 23 августа, 21 сентября,19 октября, 17 ноября, 15 декабря</t>
  </si>
  <si>
    <t>30 апреля, 28 мая, 26 июня, 24 июля, 22 августа, 20 сентября, 18 октября, 16 ноября, 14 декабря</t>
  </si>
  <si>
    <t>31 марта, 29 апреля, 27 мая, 25 июня, 23 июля, 21 августа, 19 сентября, 17 октября, 15 ноября, 13 декабря</t>
  </si>
  <si>
    <t>30 марта, 28 апреля, 26 мая, 24 июня, 22 июля, 20 августа, 18 сентября, 16 октября, 14 ноября, 12 декабря</t>
  </si>
  <si>
    <t>29 марта, 27 апреля, 25 мая, 23 июня, 21 июля, 19 августа, 17 сентября, 15 октября, 13 ноября, 11 декабря</t>
  </si>
  <si>
    <t>28 марта, 26 апреля, 24 мая, 22 июня, 20 июля, 18 августа, 16 сентября, 14 октября, 12 ноября, 10 декабря</t>
  </si>
  <si>
    <t>31 января, 29 февраля, 27 марта, 25 апреля, 23 мая, 21 июня, 19 июля, 17 августа, 15 сентября, 13 октября, 11 ноября, 9 декабря</t>
  </si>
  <si>
    <t>30 января, 28 февраля, 26 марта, 24 апреля, 22 мая, 20 июня, 18 июля, 16 августа, 14 сентября, 12 октября, 10 ноября, 8 декабря</t>
  </si>
  <si>
    <t>29 января, 27 февраля, 25 марта, 23 апреля, 21 мая, 19 июня, 17 июля, 15 августа, 13 сентября, 11 октября, 9 ноября,7 декабря</t>
  </si>
  <si>
    <t>28 января, 26 февраля, 24 марта, 22 апреля, 20 мая, 18 июня, 16 июля, 14 августа, 12 сентября, 10 октября, 8 ноября, 6 декабря</t>
  </si>
  <si>
    <t>27 января, 25 февраля, 23 марта, 21 апреля, 19 мая, 17 июня, 15 июля, 13 августа, 11 сентября, 9 октября, 7 ноября, 5 декабря</t>
  </si>
  <si>
    <t>26 января, 24 февраля, 22 марта, 20 апреля, 18 мая, 16 июня, 14 июля, 12 августа, 10 сентября, 8 октября, 6 ноября, 4 декабря</t>
  </si>
  <si>
    <t>25 января, 23 февраля, 21 марта, 19 апреля, 17 мая, 15 июня, 13 июля, 11 августа, 9 сентября, 7 октября, 5 ноября,3 декабря</t>
  </si>
  <si>
    <t>24 января, 22 февраля, 20 марта, 18 апреля, 16 мая, 14 июня, 12 июля, 10 августа, 8 сентября, 6 октября, 4 ноября, 2 декабря</t>
  </si>
  <si>
    <t>23 января, 21 февраля, 19 марта, 17 апреля, 15 мая, 13 июня, 11 июля, 9 августа, 7 сентября, 5 октября, 3 ноября и 1 декабря</t>
  </si>
  <si>
    <t>22 января, 20 февраля, 18 марта, 16 апреля, 14 мая, 12 июня, 10 июля, 8 августа, 6 сентября, 4 октября, 2 ноября</t>
  </si>
  <si>
    <t>21 января, 19 февраля, 17 марта, 15 апреля, 13 мая, 11 июня, 9 июля, 7 августа, 5 сентября, 3 октября и 1 ноября</t>
  </si>
  <si>
    <t>20 января, 18 февраля, 16 марта, 14 апреля, 12 мая, 10 июня, 8 июля, 6 августа, 4 сентября 2 октября</t>
  </si>
  <si>
    <t>19 января, 17 февраля, 15 марта, 13 апреля, 11 мая, 9 июня, 7 июля, 5 августа, 3 сентября 1 октября</t>
  </si>
  <si>
    <t>18 января, 16 февраля, 14 марта, 12 апреля, 10 мая, 8 июня, 6 июля, 4 августа, 2 сентября</t>
  </si>
  <si>
    <t>17 января, 15 февраля, 13 марта, 11 апреля, 9 мая, 7 июня, 5 июля, 5 августа, 1 сентября</t>
  </si>
  <si>
    <t>16 января, 14 февраля, 12 марта, 10 апреля, 8 мая, 6 июня, 4 июля, 2августа</t>
  </si>
  <si>
    <t>15 января, 13 февраля, 11 марта, 9 апреля, 7 мая, 5 июня, 3 июля и 1 августа</t>
  </si>
  <si>
    <t>14 января, 12 февраля, 10 марта, 8 апреля, 6 мая, 4 июня, 2 июля</t>
  </si>
  <si>
    <t>13 января, 11 февраля, 9 марта, 7 апреля, 5 мая, 3 июня, 1 июля</t>
  </si>
  <si>
    <t>12 января, 10 февраля, 8 марта, 6 апреля, 4 мая, 2 июня</t>
  </si>
  <si>
    <t>11 января, 9 февраля, 7 марта, 5 апреля, 3 мая и 1 июня</t>
  </si>
  <si>
    <t>10 января, 8 февраля, 6 марта, 4 апреля, 3 мая</t>
  </si>
  <si>
    <t>9 января, 7 февраля, 5 марта, 3 апреля и 1 мая</t>
  </si>
  <si>
    <t>8 января, 6 февраля, 4 марта, 2 апреля</t>
  </si>
  <si>
    <t>7 января, 5 февраля, 3 марта и 1 апреля</t>
  </si>
  <si>
    <t>6 января, 4 февраля, 2 марта</t>
  </si>
  <si>
    <t>5 января, 3 февраля, 1 марта</t>
  </si>
  <si>
    <t>4 января, 2 февраля</t>
  </si>
  <si>
    <t>3 января, 1 февраля</t>
  </si>
  <si>
    <t>2 января</t>
  </si>
  <si>
    <t>1 января</t>
  </si>
  <si>
    <t>Процент Действия</t>
  </si>
  <si>
    <t>Процент Действия Доп</t>
  </si>
  <si>
    <t>Критическая точка МЦ2</t>
  </si>
  <si>
    <t>ГЧХ-</t>
  </si>
  <si>
    <t>Группа крови:</t>
  </si>
  <si>
    <t>Американский континент</t>
  </si>
  <si>
    <t>Европа</t>
  </si>
  <si>
    <t>Россия (Русь)</t>
  </si>
  <si>
    <t>Резус</t>
  </si>
  <si>
    <t>-</t>
  </si>
  <si>
    <t>метисы и евреи</t>
  </si>
  <si>
    <t>чистый генетический представитель</t>
  </si>
  <si>
    <t>Кармические страны</t>
  </si>
  <si>
    <r>
      <t>ОПВ</t>
    </r>
    <r>
      <rPr>
        <b/>
        <vertAlign val="subscript"/>
        <sz val="11"/>
        <color theme="1"/>
        <rFont val="Calibri"/>
        <family val="2"/>
        <scheme val="minor"/>
      </rPr>
      <t>доп</t>
    </r>
  </si>
  <si>
    <r>
      <t>ОПВ</t>
    </r>
    <r>
      <rPr>
        <b/>
        <vertAlign val="subscript"/>
        <sz val="11"/>
        <color theme="1"/>
        <rFont val="Calibri"/>
        <family val="2"/>
        <scheme val="minor"/>
      </rPr>
      <t>2</t>
    </r>
  </si>
  <si>
    <r>
      <t>ОПВ</t>
    </r>
    <r>
      <rPr>
        <b/>
        <vertAlign val="subscript"/>
        <sz val="11"/>
        <color theme="1"/>
        <rFont val="Calibri"/>
        <family val="2"/>
        <scheme val="minor"/>
      </rPr>
      <t>3</t>
    </r>
  </si>
  <si>
    <r>
      <t>ОПВ</t>
    </r>
    <r>
      <rPr>
        <b/>
        <vertAlign val="subscript"/>
        <sz val="11"/>
        <color theme="1"/>
        <rFont val="Calibri"/>
        <family val="2"/>
        <scheme val="minor"/>
      </rPr>
      <t>4</t>
    </r>
  </si>
  <si>
    <t>Тип</t>
  </si>
  <si>
    <t>Номер</t>
  </si>
  <si>
    <t>Родовой Эгрегор</t>
  </si>
  <si>
    <t>Матричный Код</t>
  </si>
  <si>
    <t>Ретро</t>
  </si>
  <si>
    <t>Да/Нет</t>
  </si>
  <si>
    <t>Программа Судьбы</t>
  </si>
  <si>
    <t>Истинный</t>
  </si>
  <si>
    <t>+ Цель (Аркан Имени)</t>
  </si>
  <si>
    <t>Город/Страна/Слово в Аркан</t>
  </si>
  <si>
    <t>89А</t>
  </si>
  <si>
    <t>Улица</t>
  </si>
  <si>
    <t>5й Коломенский</t>
  </si>
  <si>
    <t>Дом + Улица</t>
  </si>
  <si>
    <t>Адрес в Аркан</t>
  </si>
  <si>
    <t>№ Дома</t>
  </si>
  <si>
    <t>Аркан</t>
  </si>
  <si>
    <t>Азия (включая Японию)</t>
  </si>
  <si>
    <t>Энергетические близнецы</t>
  </si>
  <si>
    <t>Количество возможных детей</t>
  </si>
  <si>
    <t>11 и 9 - хранители</t>
  </si>
  <si>
    <t>11 и 7 - белые маги</t>
  </si>
  <si>
    <t>1 -Общительность, умение говорить, любовь к публике, самовыражение</t>
  </si>
  <si>
    <t>8 - Умение организовать людей и любой процесс</t>
  </si>
  <si>
    <t>3 - Творческая самореализация, получать знания и передавать их</t>
  </si>
  <si>
    <t>7 - Стремление к сакральным знаниям, владение знаниями</t>
  </si>
  <si>
    <t xml:space="preserve">2 -Интуиция. Умение чувствовать психическое состояние других людей. Сочувствие. Наличие добродетельности. </t>
  </si>
  <si>
    <t>3 - Милосердие, забота. Предвидение опасности. - Умение почувствовать боль другого человека.</t>
  </si>
  <si>
    <t>3 - Любить. Бескорыстно. - Умение просить прощения и прощать.</t>
  </si>
  <si>
    <t>4 - Степень достигнутого карьерного профессионализма в прошлой жизни. Профессиональный подход к любимому делу.</t>
  </si>
  <si>
    <t>3 - Творческая реализация. Получения и осмысление информации. Желание к самореализации.</t>
  </si>
  <si>
    <t>4 - Интеллект, форма мышления, кол-во образований. - Профессиональный подход к делу.</t>
  </si>
  <si>
    <t>1 - Лидерство. Восприимчивость и терпимость. Желание ставить цель и добиваться ее реализации.</t>
  </si>
  <si>
    <t xml:space="preserve">1 - Самозащита и защита других. Степень агрессивности в обстановке в прошлой жизни - Уметь защищать свой талант и дело. </t>
  </si>
  <si>
    <t>4 - Профессионализм, Стремление к стабильности. Карьера и бизнес.</t>
  </si>
  <si>
    <t>1 - Управление финансовыми потоками. Количество способов заработка. Стабильность.  Умение зарабатывать деньги.</t>
  </si>
  <si>
    <t>6 - Создание семьи. - Умение и желание обеспечивать свою семью.</t>
  </si>
  <si>
    <t>8 - Владение информацией о законах мироздания. - Умение получить знание от рода и использовать его.</t>
  </si>
  <si>
    <t>5 - Личность, желание помогать, самодостаточность, внимание к людям</t>
  </si>
  <si>
    <t>5 - Умение и желание помогать людям</t>
  </si>
  <si>
    <t>5 - Почувствовать свое предназначение</t>
  </si>
  <si>
    <t>5 - Путешествия, свободолюбие, умение наслаждаться жизнью и отдыхать</t>
  </si>
  <si>
    <t>6 - Желание и умение создавать семью. Уют, комфорт, рукоделие.</t>
  </si>
  <si>
    <t>9 - Разумная защита при необходимости. Концентрация внимания на своих близких.</t>
  </si>
  <si>
    <t>4 - Умение заботиться о здоровье. Забота о себе и других. Мнительность. Умение убирать конфликты профессионально.</t>
  </si>
  <si>
    <t>2 - Желание бескорыстно помогать другим людям, благотворительность. - Проявлять добродетель в семейных отношен.</t>
  </si>
  <si>
    <t>7 - Жизненный опыт. Анализ поступков. Наличие жизненного опыты самого человека.</t>
  </si>
  <si>
    <t>6 - Желание и потребность создавать семью, уют и комфорт. Опыт получаемый от предков своего рода.</t>
  </si>
  <si>
    <t>9 - Получение энергии из космоса. - Наличие и качество экстрасенсорных способностей.</t>
  </si>
  <si>
    <t>9 - Степень владения экстрасенсорными способностями.</t>
  </si>
  <si>
    <t>8 - Духовность. Умение видеть тонкости и детали. Умение найти решение. - Умение видеть как тонкости, так и масштаб.</t>
  </si>
  <si>
    <t>7 - Духовность. Подключение к ментальным каналам. - Подключение к энергоинформационному полю.</t>
  </si>
  <si>
    <t>8 - Понимание мироздания. Умение брать на себя ответственность за действия.</t>
  </si>
  <si>
    <t>6 - Семейный опыт. Ответственность перед близкими за поступки</t>
  </si>
  <si>
    <t>9 - Экстрасенсорика. Отвечает за разум, сознание и интуитивность решений. - Наличие экстрасенсорных способностей</t>
  </si>
  <si>
    <t>2 - Психика. Умение почувствовать психическое состояние людей. - Наличие адаптивной психики</t>
  </si>
  <si>
    <t>7 - Карма. Умение получать опыт от ангелов.</t>
  </si>
  <si>
    <t>3 - Публичная самореализация., известность в прошлой жизни.</t>
  </si>
  <si>
    <t>Польский алфавит</t>
  </si>
  <si>
    <t>AĄBCĆDEĘFGHIJKLŁMNŃOÓPRSŚTUWYZŹŻ</t>
  </si>
  <si>
    <t>AĄEĘIOÓUY</t>
  </si>
  <si>
    <t>Шведский алфавит</t>
  </si>
  <si>
    <t>ABCDEFGHIJKLMNOPQRSTUVWXYZÅÄÖ</t>
  </si>
  <si>
    <t>AEIOUYÅÄÖ</t>
  </si>
  <si>
    <r>
      <t>ТП</t>
    </r>
    <r>
      <rPr>
        <vertAlign val="subscript"/>
        <sz val="11"/>
        <color theme="1"/>
        <rFont val="Calibri"/>
        <family val="2"/>
        <scheme val="minor"/>
      </rPr>
      <t>1-2</t>
    </r>
  </si>
  <si>
    <t>Создание</t>
  </si>
  <si>
    <t>Разрушение</t>
  </si>
  <si>
    <t>Совместимость по 3й ступени</t>
  </si>
  <si>
    <t>Арканы</t>
  </si>
  <si>
    <t>Карта Фамилии</t>
  </si>
  <si>
    <t>Карта Отчества</t>
  </si>
  <si>
    <t>Солярный год</t>
  </si>
  <si>
    <t>Обратка</t>
  </si>
  <si>
    <t>Искушения</t>
  </si>
  <si>
    <t>События</t>
  </si>
  <si>
    <t>+/-</t>
  </si>
  <si>
    <t>Линейная Диаграмма от Alex Knight</t>
  </si>
  <si>
    <t>Развитие</t>
  </si>
  <si>
    <t>Итог</t>
  </si>
  <si>
    <t>Причина</t>
  </si>
  <si>
    <t>Развитие отношений</t>
  </si>
  <si>
    <t>Итог отношений</t>
  </si>
  <si>
    <t>Начало отношений</t>
  </si>
  <si>
    <t>Цель отношений</t>
  </si>
  <si>
    <t>Совместимость по Матрице</t>
  </si>
  <si>
    <r>
      <t>МК</t>
    </r>
    <r>
      <rPr>
        <vertAlign val="subscript"/>
        <sz val="11"/>
        <color theme="1"/>
        <rFont val="Calibri"/>
        <family val="2"/>
        <scheme val="minor"/>
      </rPr>
      <t>3</t>
    </r>
  </si>
  <si>
    <r>
      <t>МК</t>
    </r>
    <r>
      <rPr>
        <vertAlign val="subscript"/>
        <sz val="11"/>
        <color theme="1"/>
        <rFont val="Calibri"/>
        <family val="2"/>
        <scheme val="minor"/>
      </rPr>
      <t>1-2</t>
    </r>
  </si>
  <si>
    <r>
      <t>МК</t>
    </r>
    <r>
      <rPr>
        <vertAlign val="subscript"/>
        <sz val="11"/>
        <color theme="1"/>
        <rFont val="Calibri"/>
        <family val="2"/>
        <scheme val="minor"/>
      </rPr>
      <t>2-1</t>
    </r>
  </si>
  <si>
    <r>
      <t>МК</t>
    </r>
    <r>
      <rPr>
        <vertAlign val="subscript"/>
        <sz val="11"/>
        <color theme="1"/>
        <rFont val="Calibri"/>
        <family val="2"/>
        <scheme val="minor"/>
      </rPr>
      <t>1</t>
    </r>
  </si>
  <si>
    <r>
      <t>МК</t>
    </r>
    <r>
      <rPr>
        <vertAlign val="subscript"/>
        <sz val="11"/>
        <color theme="1"/>
        <rFont val="Calibri"/>
        <family val="2"/>
        <scheme val="minor"/>
      </rPr>
      <t>4</t>
    </r>
  </si>
  <si>
    <r>
      <t>МК</t>
    </r>
    <r>
      <rPr>
        <vertAlign val="subscript"/>
        <sz val="11"/>
        <color theme="1"/>
        <rFont val="Calibri"/>
        <family val="2"/>
        <scheme val="minor"/>
      </rPr>
      <t>2</t>
    </r>
  </si>
  <si>
    <t>Сила</t>
  </si>
  <si>
    <t>Жертва</t>
  </si>
  <si>
    <t>График Энергетики</t>
  </si>
  <si>
    <t>Фам. Жен</t>
  </si>
  <si>
    <t>Фам. муж</t>
  </si>
  <si>
    <t>Фам. Муж</t>
  </si>
  <si>
    <t>Совместимость по РЭ</t>
  </si>
  <si>
    <t>Мужская</t>
  </si>
  <si>
    <t>Пара</t>
  </si>
  <si>
    <t>Женская</t>
  </si>
  <si>
    <t>Dyshlov</t>
  </si>
  <si>
    <t>Фамилия 1</t>
  </si>
  <si>
    <t>Слово 1</t>
  </si>
  <si>
    <t>Российская Федерация</t>
  </si>
  <si>
    <t>Слово 2</t>
  </si>
  <si>
    <t>Украина</t>
  </si>
  <si>
    <t>Last Name</t>
  </si>
  <si>
    <r>
      <t>ГЧК</t>
    </r>
    <r>
      <rPr>
        <sz val="11"/>
        <color theme="1"/>
        <rFont val="Calibri"/>
        <family val="2"/>
        <scheme val="minor"/>
      </rPr>
      <t>-</t>
    </r>
  </si>
  <si>
    <t>Корейский алфавит</t>
  </si>
  <si>
    <t>ㄱ ㄲ ㄴ ㄷ ㄸ ㄹ ㅁ ㅂ ㅃ ㅅ ㅆ ㅇ ㅈ ㅉ ㅊ ㅋ ㅌ ㅍ ㅎㅏ ㅐ ㅑ ㅒ ㅓ ㅔ ㅕ ㅖ ㅗ ㅘ ㅙ ㅚ ㅛ ㅜ ㅝ ㅞ ㅟ ㅠ ㅡ ㅢ ㅣ</t>
  </si>
  <si>
    <t>ㅏ ㅐ ㅑ ㅒ ㅓ ㅔ ㅕ ㅖ ㅗ ㅘ ㅙ ㅚ ㅛ ㅜ ㅝ ㅞ ㅟ ㅠ ㅡ ㅢ ㅣ</t>
  </si>
  <si>
    <t>Сейф</t>
  </si>
  <si>
    <t>Года</t>
  </si>
  <si>
    <t>Лет</t>
  </si>
  <si>
    <t>КУР2</t>
  </si>
  <si>
    <t>Испанский алфавит</t>
  </si>
  <si>
    <t>ABCDEFGHIJKLMNÑOPQRSTUVWXYZ</t>
  </si>
  <si>
    <t>AEIOU</t>
  </si>
  <si>
    <t>Астана</t>
  </si>
  <si>
    <t>/ 7</t>
  </si>
  <si>
    <t xml:space="preserve">7 – Это Кармический Код, т.е. ваш дух пришел почиститься событиями, которые вас окружают. И должны быть эталоном поведения. Вы должны быть лучше в Кармическом смысле, в духовном смысле и так далее. Если вы стали лучше, то в следующем воплощении вы родитесь в другой код. </t>
  </si>
  <si>
    <t>5 – это Эзотерические Инженеры, которые занимаются нумерологией, астрологией, физиономией, хиромантией, целительством. Карты Таро и так далее. Вы должны это освоить. В начале законы кармы, а потом инструменты.</t>
  </si>
  <si>
    <t xml:space="preserve">8 – Знание Законов Мироздания и это Эзотерика как таковая (ясновидение, яснослышание, яснознание и так далее). Умение считывать программу на Информационном уровне. </t>
  </si>
  <si>
    <t xml:space="preserve">2 – Работа с тонким миром – Шаманство, Космо и Био Энергетика, целительство. </t>
  </si>
  <si>
    <t>4 – Кудесники. Которые создают инструменты. Мастерить инструменты, которые будут работать в Эзотерическом плане.</t>
  </si>
  <si>
    <t>Мандала Тонких Тел Человека</t>
  </si>
  <si>
    <t>"+"</t>
  </si>
  <si>
    <t>"-"</t>
  </si>
  <si>
    <t>Мама</t>
  </si>
  <si>
    <t>Эфир</t>
  </si>
  <si>
    <t>Матрица</t>
  </si>
  <si>
    <t>Супруг</t>
  </si>
  <si>
    <t>Левая сторона</t>
  </si>
  <si>
    <t>Правая сторона</t>
  </si>
  <si>
    <t>Диски Мандалы</t>
  </si>
  <si>
    <t>- запрограммировано Матрицей</t>
  </si>
  <si>
    <t>- Код</t>
  </si>
  <si>
    <t xml:space="preserve">  Пробои в Теле</t>
  </si>
  <si>
    <t xml:space="preserve">   Физическое Тело</t>
  </si>
  <si>
    <t xml:space="preserve">   Эфирное Тело</t>
  </si>
  <si>
    <t>   Астральное Тело</t>
  </si>
  <si>
    <t>   Ментальное Тело</t>
  </si>
  <si>
    <t>    Кармическое Тело</t>
  </si>
  <si>
    <t>    Интуитивное Тело</t>
  </si>
  <si>
    <t>   Программное Тело</t>
  </si>
  <si>
    <t>Папа ♀ (Ребенок ♂)</t>
  </si>
  <si>
    <t>Ребенок ♀ (Папа  ♂)</t>
  </si>
  <si>
    <t>1 – Метафизики. Обучать и познавать другие системы и структуры.</t>
  </si>
  <si>
    <t>Муж</t>
  </si>
  <si>
    <t>Жен</t>
  </si>
  <si>
    <t>Метафизики</t>
  </si>
  <si>
    <t>Знахари</t>
  </si>
  <si>
    <t>Цари</t>
  </si>
  <si>
    <t>Колдуны</t>
  </si>
  <si>
    <t>Люди</t>
  </si>
  <si>
    <t>Волхвы</t>
  </si>
  <si>
    <t>Ведуны</t>
  </si>
  <si>
    <t>Шаманы</t>
  </si>
  <si>
    <t>Чародеи</t>
  </si>
  <si>
    <t>Каста</t>
  </si>
  <si>
    <t>Человек</t>
  </si>
  <si>
    <t>Жрецы</t>
  </si>
  <si>
    <t>Маги</t>
  </si>
  <si>
    <t>1 Метафизики «Кань» ☵</t>
  </si>
  <si>
    <t>7 Ведуны «Дуй» ☱</t>
  </si>
  <si>
    <t>3 Цари «Чжень» ☳</t>
  </si>
  <si>
    <t>2 Знахари «Кунь» ☷</t>
  </si>
  <si>
    <t>5 Служители</t>
  </si>
  <si>
    <t>5 Воины</t>
  </si>
  <si>
    <t>5 Торговцы</t>
  </si>
  <si>
    <t>5 Ремесленники</t>
  </si>
  <si>
    <t>9 Чародеи «Ли» ☲</t>
  </si>
  <si>
    <t>8 Шаманы «Гэнь» ☶</t>
  </si>
  <si>
    <t>4 Колдуны «Сюнь» ☴</t>
  </si>
  <si>
    <t>6 Волхвы «Цянь» ☰</t>
  </si>
  <si>
    <t>13й день</t>
  </si>
  <si>
    <t>13й день ↗</t>
  </si>
  <si>
    <t xml:space="preserve">13й день ↘ </t>
  </si>
  <si>
    <t>13й день ↘</t>
  </si>
  <si>
    <t xml:space="preserve">Марс ↗ </t>
  </si>
  <si>
    <t>Нептун ↗</t>
  </si>
  <si>
    <t>Здоровье</t>
  </si>
  <si>
    <t>По Карме</t>
  </si>
  <si>
    <t>Судьбе</t>
  </si>
  <si>
    <t>ПЗ+Чинд</t>
  </si>
  <si>
    <t>Крит Точки</t>
  </si>
  <si>
    <r>
      <t xml:space="preserve">ОПВ </t>
    </r>
    <r>
      <rPr>
        <b/>
        <vertAlign val="subscript"/>
        <sz val="11"/>
        <color theme="1"/>
        <rFont val="Calibri"/>
        <family val="2"/>
        <scheme val="minor"/>
      </rPr>
      <t>доп</t>
    </r>
  </si>
  <si>
    <t>Предназначение</t>
  </si>
  <si>
    <t>2</t>
  </si>
  <si>
    <t>3</t>
  </si>
  <si>
    <t>4</t>
  </si>
  <si>
    <t>5</t>
  </si>
  <si>
    <t>6</t>
  </si>
  <si>
    <t>7</t>
  </si>
  <si>
    <t>8</t>
  </si>
  <si>
    <t>9</t>
  </si>
  <si>
    <t>10</t>
  </si>
  <si>
    <t>11</t>
  </si>
  <si>
    <t>12</t>
  </si>
  <si>
    <t>13</t>
  </si>
  <si>
    <t>14</t>
  </si>
  <si>
    <t>15</t>
  </si>
  <si>
    <t>16</t>
  </si>
  <si>
    <t>17</t>
  </si>
  <si>
    <t>18</t>
  </si>
  <si>
    <t>19</t>
  </si>
  <si>
    <t>20</t>
  </si>
  <si>
    <t>21</t>
  </si>
  <si>
    <t>22</t>
  </si>
  <si>
    <t>Планетарная задача</t>
  </si>
  <si>
    <t>Высшие силы просят вас стать истинным лидером, который всегда готов прийти на помощь, защитить, протянуть руку помощи. Но эта поддержка  не должна быть связана с финансами. Это скорее уровень духовного лидерства.</t>
  </si>
  <si>
    <t>Ваша первая миссия связана с необходимостью бескорыстно помогать людям. Проявлять заботу, расширять мировоззрение. Вы являетесь духовным учителем мира, который будет пеестроен в ближайшее время. Вы носитель ьайных знаний, истинных ценностей.</t>
  </si>
  <si>
    <t xml:space="preserve">Эта миссия связана с необходимостью творчески развиваться, дарить людям проявления своего таланта и способностей. Миссия, как правило, требует громкого и публичного самовыражения, которое могло бы согревать сиянием все окружение. Но при такой миссии стоит воздерживаться от зацикленности на статусе и узнаваемости. Вы должны с особой ответственностью подходить к выбору профессии, поскольку она должна быть связана с самовыражением (дизайнер, артист, адвокат, менеджер по рекламе и т.д.). В более зрелом возрасте миссия требует иметь учеников и последователей таланта. </t>
  </si>
  <si>
    <t>Ваша задача стать профессионалом в выбранной области, стремиться к повышению квалификации, честному труду.</t>
  </si>
  <si>
    <t>Это самая легкая из всех возможных миссий. Ее смысл заключается в том, чтобы избегать любых видов привязанностей, стереотипов, обременений. Вам нужен исключительно свободный образ жизни, чтобы в легкости набирать жизненный опыт, который вам необходимо передавать окружающим. Вы можете иметь работу, но она не должна быть строго привязана к одному месту или контракту. Вам просто необходимо иметь свободный график. В семейных отношениях – вам необходимо иметь время для собственных интересов, место для уединения, миссия предполагает частые поездки, путешествия, перемещения.</t>
  </si>
  <si>
    <t>Ваша задача этого воплощения - реализоваться в семейной жизни. Т.е быть хорошим хозяином, мужем, папой. Вам нельзя прибегать к помощи  и услугам других людей, которые могли бы облегчить вам  домашний труд. Вы должны стать примером для подражания в домашнем хозяйстве для вашего окружения. Вам необходимо помогать всем членам вашего рода, членам вашей семьи, родственникам, приобретенным родственникам. Разводиться вам нельзя. Даже, если развелись, надо будет дальше помогать родственникам бывшей супруги.</t>
  </si>
  <si>
    <t>Высшие силы просят вас во всем искать глубину, часто эта миссия связана с научной деятельностью, потому что люди, с такой задачей на воплощение многим интересуются пытаются раскрыть тайны не только своего окружения, но и целого мира. Вам необходимо много читать, узнавать, чтобы ваша душа наполнялось новой информацией. Эта миссия входит в дисбаланс с материальной сферой, поэтому людям, с такой миссией категорически нельзя работать в финансовой области, а также брать кредиты. Деньги должны доставаться только интеллектуальным трудом.</t>
  </si>
  <si>
    <t>Ваша задача управлять своими эмоциями, грамотно распределять энергиями, примирять людей, стать для них эталоном, духовности, справедливости, доброты. Нельзя быть источником конфликта. Высшие силы просят вас проявлять мудрость и взвешенность во всех ваших поступках и действиях. Вам необходимо найти баланс, чувство меры и гармонии. Всегда подходите к вопросу со стороны справедливости и необходимости узнать другую точку зрения, альтернативы. Вы должны все подвергать разумному сомнению, чтобы в ваших руках было как минимум две точки зрения, две версии, два выхода из ситуации, два направления деятельности и т.д. Но в первую очередь вам нужно находить баланс между материальным и духовным миром. Баланс между эмоциями и логикой. Это очень не простая задача. Таких людей в кармической нумерологии называют жрецами.</t>
  </si>
  <si>
    <t>Цель вашего воплощения связана с необходимостью служить людям, даря частичку своего таланта, как в бытовой жизни, так и в профессиональной. Вы должны передать людям ваши глубинные знания, которые помогут нашей цивилизации встать на новый виток развития. Вам нельзя забывать о старшем поколении, вы должны стать опорой и защитой для них.</t>
  </si>
  <si>
    <t>Вы должны стать защитником устоев семьи, народа, нации. На более мелком уровне вам необходимо научиться отстаивать свою точку зрения, мнение, талант и способности. Стать опорой и защитой для близкого круга коллег и родственников.</t>
  </si>
  <si>
    <t>Эта задача связана с необходимостью развивать в себе экстрасенсорные способности. Как бы странно это не звучало. Конечно во всем есть лазейки. Если не захотите стать мистиком и магом в светлом смысле этого слова, то вы можете бескорыстно помогать людям. Речь идет о благотворительности. Эта миссия сложна тем, что она всегда разбивает жизнь человека на две половинки.</t>
  </si>
  <si>
    <t>Вам необходимо стать учителем в области эзотерики, передавать накопленные за предыдущие воплощения знания в этой области. Либо развивать любой творческий потенциал на профессиональном уровне.</t>
  </si>
  <si>
    <t>Социальная задача</t>
  </si>
  <si>
    <t>Вы должны делиться заложенными в вас знаниями и потенциалом исключительно в устной форме, стать оратором, лектором. Ваша задача -устно передать накопленные вашей душой информацией. Также вы несете на себе бремя помощи братьям и сестрам. Вы должны стать не только опорой, но учителем. В течение всей жизни Вам нужно совершенствовать и развивать свои знания, Вам нельзя бросать обучение на полпути или отказываться от него.</t>
  </si>
  <si>
    <t>Вам нужно нести ответственность за окружающую среду, животных, детей, инвалидах. Опекать и оберегать тех, кто в этом особенно нуждается. Встать на защиту всех женщин, особенно близких (жена, мама, дочь, сестра). Также не стоит забывать о развитии интуиции, сострадания, человечности, толерантности, доброты, заботы.</t>
  </si>
  <si>
    <t>Эта задача предполагает не просто стать родителем, но и передать знания, опыт, навыки, таланты и способности своим детям. Необходимо лично заниматься воспитанием и образованием своих детей. Вы также можете стать учителем, или иметь последователей своих идей и талантов. Ваша задача не просто передавать свои знания, а зародить что-то кардинально новое.</t>
  </si>
  <si>
    <t>Вы должны не просто стать профессионалом, а должны дать заработать от ваших успехов. Вы должны стать примером для подражания, быть сильным, волевым и справедливым начальником. Если изберете Семью и не захотите развиваться в профессиональном плане, то относиться к бытовым вопросам вам необходимо словно вы на работе. С ответственностью и усердием, но при этом вам все время нужно быть хотя бы трудоустроенным. Старайтесь избегать брака ради финансового благополучия, это негативное влияние вашей миссии – Искушение. И все же для вас на первом плане должна стоять задача профессионального развития в выбранной области. Вы должны переработать отношение к карьере, власти, успеху. Вам нужно научиться брать на себя ответственность и уметь самостоятельно выполнять поставленную задачу.</t>
  </si>
  <si>
    <t>Вам необходимо заниматься научными или духовными исследованиями, расширять и углублять знания, получить хорошее образование. Нести в массы проверенную информацию, необходимо служить мужчинам, не допускать с их стороны обид, это относится к близкому кругу мужчин. Вы должны стать духовным продолжателем традиций рода, нести нравственность, мораль, законность.</t>
  </si>
  <si>
    <t>Вы должны стать носителем чувства истиной любви, чистоты, гармонии в отношениях. Должны стать эталоном в личных отношениях. Вам необходимо сконцентрироваться на семье, стать опорой, поддержкой, отдушиной для членов вашей семьи. Буквально служить интересам семьи.</t>
  </si>
  <si>
    <t>Вы должны активно включаться во все виды деятельности, которые предлагает вам жизнь. Вы должны своим примером обучать людей активному и прогрессивному образу жизни. Вы всегда должны быть в центре внимания. Развивать интеллект, сохранять тайны. Создавать новые проекты, виды деятельности, идеи, даже творческие направления.</t>
  </si>
  <si>
    <t>Вы должны стоять на защите законности, справедливости, чести и достоинства. Вам необходимо иметь свою точку зрения и всегда следовать внутренним нравственным ориентирам. Не допускать конфликтов, оскорблений, безнравственности, нечестности в вашем окружении. Вам нельзя спорить и конфликтовать. Научитесь соблюдать баланс и внутреннюю гармонию.</t>
  </si>
  <si>
    <t xml:space="preserve">Вам необходимо духовно развиваться в соответствии с традициями вашего рода, взаимодействовать с людьми старшего поколения, изучать древние культуры, историю своего рода, государства. Вы должны найти смысл жизни, учиться на чужих ошибках. Вам необходимо благодаря собственным знаниям и опыту в более зрелом возрасте помогать советом. Обратите внимание, что этот знак не имеет ничего общего с деньгами, поэтому помощь в финансовой области является бессмысленной жертвой для высших сил. Я вам рекомендую научиться помогать людям советом и словом. Если вы будете часть денег жертвовать в дома престарелых или просто помогать пожилым людям, то вы сможете закрыть вопрос кармы. Также вы можете делать скидки в бизнесе, также вам необходимо изучать любое направление эзотерического направления (например, астрология, хиромантия, суфизм, йога, антропософия, закон Рито), см. https://ru.wikipedia.org/wiki/Эзотеризм   и необходимость вести самостоятельный образ жизни. </t>
  </si>
  <si>
    <t>Вам необходимо выработать правильное отношение к деньгам. Не гонитесь за ними, поскольку они к вам будут приходить только через благодарность высших сил за проявленную вами духовность. Вам необходимо оеспечивать не только себя, но и ваших близких, в первую очередь  детей. Эта миссия связана с отработкой кармы прошлого воплощения, поэтому, если вы будете нарушать космические законы, то первое, чего вас будут лишать в наказание -денег или способа их заработать.</t>
  </si>
  <si>
    <t>Ваша задача проработать экспрессивное проявление психической силы, которая была вами превышена в прошлой жизни. Вам необходимо развивать в себе такие качества и чувства, как отвага, смелость, доблесть и героизм. Вы должны бороться за свои убеждения, стать лидером. Вы должны научиться преодолевать свои страхи. Вам нельзя избегать проблем, а решать их по мере поступления. Вам нельзя прятаться за чужими спинами и перекладывать ответственность на других людей. В целом ваша задача защита, а не нападение или страх.</t>
  </si>
  <si>
    <t>Эта задача напрямую связана с работой с людьми. Вам нужно научиться контролировать свои эмоции, налаживать отношения с людьми разных сословий, рас, вероисповеданий. Но самое главное, вам нужно найти связь внутреннего мира и внешнего, научиться пользоваться интуицией, чтобы помогать людям разобраться в их проблемах</t>
  </si>
  <si>
    <t>Вам необходимо научиться переменам в жизни. Служить людям через альтруизм, добросердечность, помогать бескорыстно. Все время совершенствоваться, стремиться к новым целям.</t>
  </si>
  <si>
    <t>Эта миссия показывает на необходимость вести гармоничный и умеренный образ жизни, стремясь к благам исключительно Вашей семьи. Вам дадут богатство только, если вы не будете сильно его желать, если научитесь радоваться малому. Вы должны стать опорой и центром вашей семьи, помогать им, содержать и оберегать. Стать примирителем, миротворцем, посредником.</t>
  </si>
  <si>
    <t>Ваша задача бороться с любыми соблазнами, искушениями, главное самому не стать человеком, искушающим на измену, предательство, мошенничество, не традиционность, плохие привычки. Вы должны понимать, что за вашей спиной стоят не только светлые ангелы, но и темные. От того, как вы проживете жизнь в этом воплощении, будет зависеть ваше следующее. Вам нельзя вступать в конфликты, быть зачинщиком конфликта, не изменять, не применять физ силу, не злоупотреблять алкоголем, не обращаться за помощью к черным магам, иначе темная сторона может завладеть вами.</t>
  </si>
  <si>
    <t>Вы должны стать строителем в широком смысле слова. Вам нужно научиться уходить от того, что себя изжило. Вам нужно расчищать жизнь для нового, перспективного, актуального. Вы должны научиться открывать новые двери. Ваша задача разрушать стереотипы людей, выстраивать новую систему ценностей, готовить человечество к новым космическим законам. Вы проводник человечества в новый духовный мир, где нет материальных ценностей.</t>
  </si>
  <si>
    <t>Вам необходимо работать над развитием своих талантов, артистизма, над самовыражением, креативностью, чувством прекрасного. Вы должны привнести в мир свои творческие произведения, хотя бы в виде красивого дизайна собственного дома. Вам необходимо налаживать и поддерживать дружеские контакты, понимать и разбираться в чужих и своих чувствах, уметь любоваться красотой человека, природы, слова.</t>
  </si>
  <si>
    <t>Вы должны работать над развитием своей интуиции и своих творческих способностей. Как можно чаще пользоваться воображением, фантазией, чувством стиля. Много времени уделять домашнему хозяйству, комфорту, благополучию семейных отношений.  Вы должны создавать теплую атмосферу в любой обстановке, уметь профессионально готовить, сами подбирать себе одежду, вовремя оказывать поддержку близким людям.</t>
  </si>
  <si>
    <t>Вы должны стать мудрым, надежным, справедливым предводителем. Научиться открыто и ярко проявлять свои чувства и эмоции, нести людям благие вести и радость. Вы должны работать с людьми, на всеобщее благо. Согревать теплотой своих чувств, помогать мудростью.</t>
  </si>
  <si>
    <t>Вы присланы для проработки семейных отношений, вы должны исключить ошибки в вашем роду. Сохранить и передать правильную систему ценностей, возродить семейные ремесла и таланты. Восстановить память о роде, поддерживать семейные традиции. Вы должны стать центром семьи. В вашем доме должны собираться родственники. Вы должны следить за могилами. По сути - вы жертвуете вашей судьбой для отработки Кармы рода.</t>
  </si>
  <si>
    <t>Вы должны выработать в себе такие качества как: толерантность, мягкость, открытость ко всему новому и необычному. Бороться с консервативностью, заболоченностью. Вы должны много путешествовать по миру, общаться с людьми разных культур, быть всегда у всех на виду, в центре внимания, стремиться объединить культуры, вкусы, инновации разных стран. Вы должны стать буквально "гражданином мира". Ваша задача переехать в другую страну или работать с иностранцами.</t>
  </si>
  <si>
    <t>Ваша задача отдать долг детям, лучше всего избрать профессию, связанную с детьми, так вам проще будет исправить карму. К тому же вы должны быть открытым, дружелюбным, по-детски наивным человеком, надежным другом, опорой для своих близких. Гасить в себе беспокойство, агрессию, обиду, злость, другие взрослые эмоции.</t>
  </si>
  <si>
    <t>Профессии</t>
  </si>
  <si>
    <t>Рекомендуется искать успех при выборе профессии в областях: интеллектуальные профессии, общение, коммуникации, менеджеры, учителя в школе (чаще), организаторы, юристы, умелые мастера (парикмахеры, ювелиры, механики), торговля, туризм, компьютеры, работа где нужна быстрая реакция, оккультные науки</t>
  </si>
  <si>
    <t>Рекомендуется искать успех при выборе профессии в областях: духовная сфера, помощь другим, няни, сиделки, психологи, педагогика, врачи, работа с женщинами, воспитатели, сельское хозяйство, диетологи, работа с животными и растениями, организация мероприятий.</t>
  </si>
  <si>
    <t>Рекомендуется искать успех при выборе профессии в областях: сфера красоты, мода, художники, швеи, портные, дизайн, выставки, кулинария, еда, рестораны, кафе, работа с женщинами, финансы, банки, служба знакомств, сфера недвижимости, работа с детьми, детский сад.</t>
  </si>
  <si>
    <t>Рекомендуется искать успех при выборе профессии в областях: руководящие посты, политика, военные, бизнес, хирурги, стоматологи, работа с металлом, полиция, спорт.</t>
  </si>
  <si>
    <t>Рекомендуется искать успех при выборе профессии в областях: педагогика, чаще высшее образование, наука, религия, оккультные практики, помощь другим, врачи, консультанты, психологи, социальные организации, тренинги, советники, политика.</t>
  </si>
  <si>
    <t>Рекомендуется искать успех при выборе профессии в областях: изо, выставки, дизайн, служба знакомств, дипломатия, искусство, консультационные услуги, парикмахеры, сфера красоты, посредники, юристы, домашний очаг.</t>
  </si>
  <si>
    <t>Рекомендуется искать успех при выборе профессии в областях: туризм, все, что связано с машинами, транспорт, перевозки, курьер, поставщик, военные, авиация, таможня, торговля, бизнес, бензин, газ, топливо, информационные технологии, гиды, экскурсоводы, менеджер, организатор.</t>
  </si>
  <si>
    <t>Рекомендуется искать успех при выборе профессии в областях: юридическая сфера, экономика, банки, финансы, налоговые, любая работа, где нужна точность, работа с бумагами, преподаватели, наука.</t>
  </si>
  <si>
    <t xml:space="preserve">Рекомендуется искать успех при выборе профессии в областях: медицина, преподавание, оккультизм, религия, церковь, горняки, геолог, ювелиры, научная деятельность, монахи, работа, требующая уединения и спокойствия, математики.
</t>
  </si>
  <si>
    <t>Рекомендуется искать успех при выборе профессии в областях: финансы, банки, бизнес, развлекательные мероприятия, туризм, транспорт, иностранные языки, клубы, рестораны.</t>
  </si>
  <si>
    <t>Рекомендуется искать успех при выборе профессии в областях: ветеринария, спорт, физическая работа, управление, юристы, военные, полиция, руководящие должности, актеры, политика.</t>
  </si>
  <si>
    <t>Рекомендуется искать успех при выборе профессии в областях:психология, психотерапия, медицина, гипнологи, экстрасенсы, садовники, духовные профессии, религия, работа, требующая ухода и заботы о других.</t>
  </si>
  <si>
    <t>Рекомендуется искать успех при выборе профессии в областях: медицина, техника, машины, работа с металлом, опасные профессии, патологоанатомы, юристы, нотариусы, спорт, химия, лаборатория, оружие, военные. Талисман: сардоникс, гранат. Цвет: темно-красный, бордовый, темно-лиловый.</t>
  </si>
  <si>
    <t>Рекомендуется искать успех при выборе профессии в областях:  Дипломаты, чиновники, учителя, повар, часовщик, детский психолог, математика, наука, писатель, работа, которая не требует резкого переключения с одного на другое.</t>
  </si>
  <si>
    <t>Бизнес, финансы, психология, магия, оккультизм, политика, полиция, работа в жестких условиях, спорт, творчество.</t>
  </si>
  <si>
    <t>Строительство, недвижимость, офисная техника, офисные служащие, рискованные профессии, работа с техникой и железом.</t>
  </si>
  <si>
    <t>Рекомендуется искать успех при выборе профессии или направления: астрология, творчество, писатели, работа со словом, авиация, наука, новые разработки, генная инженерия, кино, телевидение.</t>
  </si>
  <si>
    <t>Рекомендуется искать успех при выборе профессии или направления медицина, чисто женские профессии, ветеринар, питание, рестораны, кафе, работа с водой, на воде, детские сады, воспитатели, гинекологи, писатели, профессии, где нужна хорошая фантазия, диетологи, актеры, вообще творчество, работа с цветами, природой, биология.</t>
  </si>
  <si>
    <t>Рекомендуется искать успех при выборе профессии или направления в творчестве, актеры, реклама, сфера развлечений, чисто мужские профессии.</t>
  </si>
  <si>
    <t>Рекомендуется искать успех при выборе профессии или направления в музыке, родовые ремесла, юристы, философия, медицина, реклама, точные науки, политика, работа с массами.</t>
  </si>
  <si>
    <t>Работа, связанная с заграницей, иностранные языки, туризм, компьютеры, Интернет, технологии, работа с массами, публичные профессии, большие компании, космонавтика, авиация.</t>
  </si>
  <si>
    <t>Рекомендуется искать успех при выборе профессии или направления в туризме, работе с детьми, путешествия, любая креативная профессия, где нет жестких рамок и границ, изобретатели, актеры, цирк, сочинители, писатели, развлекательные мероприятия, экстрасенсы.</t>
  </si>
  <si>
    <t>Талисманы, усиливающие данные таланты</t>
  </si>
  <si>
    <t>Талисманы: агат</t>
  </si>
  <si>
    <t>Талисманы: лунный камень</t>
  </si>
  <si>
    <t>Талисман: малахит, изумруд.</t>
  </si>
  <si>
    <t>Талисманы: гематит, красная яшма, рубин.</t>
  </si>
  <si>
    <t>Талисманы: сердолик, бычий глаз</t>
  </si>
  <si>
    <t>Талисманы: яшма пестрая, соколиный глаз</t>
  </si>
  <si>
    <t>Талисманы: опал, селенит.</t>
  </si>
  <si>
    <t>Талисманы: розовый кварц, нефрит</t>
  </si>
  <si>
    <t>Талисманы: моховой агат, кошачий глаз</t>
  </si>
  <si>
    <t>Талисманы: лазурит, бирюза, синий сапфир</t>
  </si>
  <si>
    <t>Талисманы: циркон, тигровый глаз, желтый сапфир</t>
  </si>
  <si>
    <t>Талисманы: лабрадор, чароит</t>
  </si>
  <si>
    <t>Талисманы: сардоникс, гранат</t>
  </si>
  <si>
    <t>Талисманы: лазурит, голубой топаз</t>
  </si>
  <si>
    <t>Талисманы: обсидиан, гага.</t>
  </si>
  <si>
    <t>Талисманы: пирит, красный турмалин</t>
  </si>
  <si>
    <t>Талисманы: авантюрин</t>
  </si>
  <si>
    <t>Талисманы: аквамарин, аметист, перламутр.</t>
  </si>
  <si>
    <t xml:space="preserve">Талисман: цитрин, янтарь. 
</t>
  </si>
  <si>
    <t>Талисманы: дымчатый топаз, морион</t>
  </si>
  <si>
    <t>Талисманы: коричневая яшма.</t>
  </si>
  <si>
    <t>Талисманы: горный хрусталь</t>
  </si>
  <si>
    <t>Цвет</t>
  </si>
  <si>
    <t>Цвет: желтый, разноцветный</t>
  </si>
  <si>
    <t>Цвет: белый, серебристый.</t>
  </si>
  <si>
    <t>Цвет: зеленый.</t>
  </si>
  <si>
    <t>Цвет: алый.</t>
  </si>
  <si>
    <t>Цвет: коричневый.</t>
  </si>
  <si>
    <t>Цвет: желтый, лимонный</t>
  </si>
  <si>
    <t>Цвет: бирюзовый, голубой, светло-зеленый</t>
  </si>
  <si>
    <t>Цвет: розовый</t>
  </si>
  <si>
    <t>Цвет: серый</t>
  </si>
  <si>
    <t>Цвет: синий</t>
  </si>
  <si>
    <t>Цвет: желтый, золотой.</t>
  </si>
  <si>
    <t>Цвет: лиловый, сиреневый</t>
  </si>
  <si>
    <t>Цвет: темно-красный, бардовый, темно-лиловый</t>
  </si>
  <si>
    <t>Цвет: черный</t>
  </si>
  <si>
    <t>Цвет: красный</t>
  </si>
  <si>
    <t>Цвет: индиго, радуга.</t>
  </si>
  <si>
    <t>Цвет: лиловый, светло-розовый.</t>
  </si>
  <si>
    <t>Цвет: оранжевый</t>
  </si>
  <si>
    <t>Цвет: темно-синий, вишневый, сочетание красного и черного</t>
  </si>
  <si>
    <t>Цвет: темно-зеленый, белый, коричневый.</t>
  </si>
  <si>
    <t>Цвет: индиго, ярко-синий.</t>
  </si>
  <si>
    <t>Программа по метациклам</t>
  </si>
  <si>
    <t>необходимо помогать братьям и сестрам, обучать и обучаться. В случае, если не получиться по каким-либо причинам  выполнить задачу этого периода, то это может обернуться против вас в виде  проблемы со зрением, слухом, речью, конфликты с братьями и сестрами, предательство учеников, стажеров, ровесников и тех кто моложе. При этом вам для достижения программы данного периода жизни даются таланты такие как: умение найти общий язык с любым человеком, дает ораторское мастерство, умение обучать и обучаться, быстро налаживать деловые связи</t>
  </si>
  <si>
    <t>надо помогать близким женщинам, ухаживать  и заботиться о здоровье. В случае, если не получиться по каким-либо причинам  выполнить задачу этого периода, то это может обернуться против вас в виде  болезни близких женщин, необходимость непосредственного участия в излечении, проблемы с вынашиванием ребенка. При этом вам для достижения программы данного периода жизни даются таланты такие как: умение почувствовать психофизическое состояние других людей, знахарство, целительство, травоведение, умение общаться с животными.</t>
  </si>
  <si>
    <t xml:space="preserve">необходимо воспитать и поставить на ноги хотя бы одного ребенка (можно чужого). 
В случае, если не получиться по каким-либо причинам выполнить задачу этого периода, то это может обернуться против вас в виде сложности с зачатием, нежеланием иметь детей, отсутствие материализации, намеченных планов, т.е. реализуются только те планы, которые спонтанны, предательство детей. Зачатие у тройки возможно, только если человек сам этого хочет. 
При этом вам для достижения программы данного периода жизни даются таланты такие как: умение реализовать мыслеформу, воплотить мечты в реальность, понять необходимости других людей для самореализации (для этого надо конкретно представить мечту в подробностях), но, если захотят стать родителем, в них заложен талант материнства и отцовства.
</t>
  </si>
  <si>
    <t>необходимо иметь свой бизнес или стать лучшим в своей области. В случае, если не получиться по каким-либо причинам  выполнить задачу этого периода, то это может обернуться против вас в виде  проблемы с опорно-двигательным аппаратом, крах карьерного роста, срыв сделок, особенно направленных на работу других людей. Чтобы не было срывов, необходимо непосредственно самому участвовать в производстве, сделке, контролировать процесс. При этом вам для достижения программы данного периода жизни даются таланты такие как: умение создать бизнес условия для карьерного роста на ровном месте, легко налаживаются контакты, выстраивание их по деловому принципу "ты -мне, я - тебе".</t>
  </si>
  <si>
    <t>необходимо заниматься наукой, эзотерикой (хотя бы как хобби), вести правильный образ жизни, путешествовать и изучать особенности культуры других народов, передавать мудрость и практические знания, вырабатывать уважение к мужчинам. В случае, если не получиться по каким-либо причинам  выполнить задачу этого периода, то это может обернуться против вас в виде пьянство, вредные привычки, сильная токсикация организма, предательство мужчин, учителей, подверженность к сектам. Людей, рожденных 27го числа воспитывать должен отец (мужчина, дед, отчим, брат) иначе знак может увести в минус. При этом вам для достижения программы данного периода жизни даются таланты такие как: мудрость, умение понять потребности других людей, умение помочь, зная, как сделать лучше.</t>
  </si>
  <si>
    <t>в случае возникновения отношений, необходимы официальные документы о заключении брака, брачный контракт. Необходимо помогать членам семьи советом, показывать пример добропорядочных отношений, измены и разводы не допустимы в этом периоде. В случае, если не получиться по каким-либо причинам  выполнить задачу этого периода, то это может обернуться против вас в виде возникновения развода, то это с дележкой имущества и детей, измены супруга, близкие вам люди могут предать в самый неподходящий момент (подруги, друзья), возможны болезни супруга,предательство детей. При этом вам для достижения программы данного периода жизни даются таланты такие как: умение быть комфортным, находить общий язык, быстро вливаться в коллектив, переходить на дружеское общение, выбирать партнеров, чувство перспективности отношений. Они видят в человеке, какой талант в другом человеке можно вскрыть.</t>
  </si>
  <si>
    <t>необходимо получать знания или навыки в других городах или странах, а потом внедрить их на родине. Например, Сундаков Виталий приспособился даже в племени Каннибалов. В случае, если не получиться по каким-либо причинам  выполнить задачу этого периода, то это может обернуться против вас в виде проблемы с автотранспортом, автокредитами, вынужденные переезды, остановка бизнеса, аварии несут не фатальный характер.При этом вам для достижения программы данного периода жизни даются таланты такие как: умение приспособиться при любых обстоятельствах, создавать в быту полезные вещи, адаптироваться и ориентироваться в незнакомом месте, чувствуют быстрые и перспективные проекты, их риск всегда оправдан, реактивно движутся по жизни.</t>
  </si>
  <si>
    <t>необходимо научиться примирять стороны, оказывать юридическую помощь, помогать совершать, подготавливать, анализировать сделки, показывать пример соблюдения закона, правил, традиций, выполнять взятые на себя обязательства даже если устные. В случае, если не получиться по каким-либо причинам  выполнить задачу этого периода, то это может обернуться против вас в виде могут возникнуть проблемы с законом, отсутствие поддержки государства, иски на ровном месте, несправедливые штрафы, проигрыши в судах, проблемы с наследством, болезни парных органов (зрение, почки), беда приходит всегда в паре. При этом вам для достижения программы данного периода жизни даются таланты такие как: чувствование документов, справедливость в отношениях, подсознательное знание законов, умение примирить в конфликте, найти дипломатическое решение, но из-за этого могут возникать часто конфликтные ситуации в жизни.</t>
  </si>
  <si>
    <t>необходимо преумножить капитал, обеспечивать семью, в том числе и мужа, выполнение фин обязательств, нельзя быть должным. В случае, если не получиться по каким-либо причинам  выполнить задачу этого периода, то это может обернуться против вас в виде крупных долгов, остановка циркуляции процессов в организме (скручивание рук и ног, закаменевание, соли) и в жизни (торговля, логистика, ресторан). При этом вам для достижения программы данного периода жизни даются таланты такие как: знание как преумножить капитал, прокрутить деньги, чувствуют рынок, зарабатывают на ровном месте, знают, где стоит "тумбочка".</t>
  </si>
  <si>
    <t xml:space="preserve">необходимо словом защищать себя, свои знания, своих близких. В случае, если не получиться по каким-либо причинам  выполнить задачу этого периода, то это может обернуться против вас в виде врачебных ошибок, неправильных диагнозов, множество врагов. При этом вам для достижения программы данного периода жизни даются таланты такие как: умение преодолевать любые препятствия, побеждать в конкурентной борьбе, обладают психифизической силой, могут воздействовать на людей, их враги сами сознаются в своих планах, им изза этого кажется что среда вокруг них враждебна, обожают препятствия, самые сложные люди рожденные 11.11, т.к. пытаются играть роль бедной овечки, а стоить их обидеть могут укусить как волк. </t>
  </si>
  <si>
    <t xml:space="preserve">необходимо оказывать поддержку близким, давать советы вместе сопереживая, подсказать человеку верное решение, правильный путь.
 При невыполнении программы, могут возникнуть: тяжелые болезни, онкологии, нарушение психики, отсутствие поддержки, алкоголизм, склонность к суициду, их постоянно будет кто-то оскорблять, грубые слова - тут надо понимать, что это обратка кармы. 
При этом вам для достижения программы данного периода жизни даются таланты такие как: умение почувствовать психоэмоциональное состояние человека, его внутренний мир, мотивы, намерения, умение успокоить, проявить тактичность и дипломатичность, оказать психологическую помощь
</t>
  </si>
  <si>
    <t xml:space="preserve"> необходимо стать первооткрывателем в любой области, сделать то, чего до вас никто никогда не делал (в рамках закона).
 В случае, если не получиться по каким-либо причинам  выполнить задачу этого периода, то это может обернуться против вас в виде быстрого течения проблем, резкие трансформации в жизни с неблагоприятным исходом, например, быстрое течение болезни, отсутствие стабильности в жизни, если в "-" то могут все отнять, если в "+" то дают что-то как благодать взамен. 
При этом вам для достижения программы данного периода жизни даются таланты такие как: умение найти альтернативные нестандартные решения, быстрота, острота мышления, умение найти выход из запутанной ситуации, им легче там, где сложно, обладают гипнозом, умеют убедить кого угодно в чем угодно, найти недостающие пазлы, выдающиеся адвокаты в истории
</t>
  </si>
  <si>
    <t>необходимо выращивать где угодно растения, кормить близких, создавать гармоничные отношения и условия для жизни и работы, т.е. гармония в достатке. В случае, если не получиться по каким-либо причинам  выполнить задачу этого периода, то это может обернуться против вас в виде где люди становятся жадными, а за этим приходит медленное разорение, скрываются истинные причины болезни, проблемы, отсутствуют четкие диагнозы. При этом вам для достижения программы данного периода жизни даются таланты такие как: умение выращивать что угодно и где угодно, селекции, сельхоз навыки, руки обладают живительной силой, способны целить растения. Способны создать гармоничную обстановку где угодно, умеют жить в достатке (уплачены налоги, образование детям), а если выше достатка, то их переклинивает и они могут стать жадными.</t>
  </si>
  <si>
    <t>надо заниматься колдовством, создавать проблемы другим. В случае, если не получиться по каким-либо причинам  выполнить задачу этого периода, то это может обернуться против вас в виде:  если живут правильно, знак Дьявола уходит в минус и тогда возможна катализация негативных событий, человеку придется искупить вину тяжелым потрясением в жизни, если онкология, то как правило с метастазами. При этом вам для достижения программы данного периода жизни даются таланты такие как: дар ясновидения, пророческий дар, колдовство, умение предвидеть ситуации, организовать любые процессы, экстравагантные видения, умение манипулировать людьми.</t>
  </si>
  <si>
    <t>необходимо построить дом, или следить за техническим состоянием дома, ремонтировать, не должно быть "текущих кранов" либо развитие в духовной сфере. В случае, если не получиться по каким-либо причинам  выполнить задачу этого периода, то это может обернуться против вас в виде: проблемы с недвижимостью, ипотеками, утрата органа, крах дела без возможности восстановления. При этом вам для достижения программы данного периода жизни даются таланты такие как: умение выстроить что угодно с нуля. Стратегическое мышление, умение что угодно починить, усовершенствовать, дополнить. Знак недвижимости, строительства, риелтор, ремонт. На высшем уровне - это духовник, выстраивающий мировоззрение.</t>
  </si>
  <si>
    <t>до конца жизни необходимо помогать талантливым людям, развивать свои таланты, добиться публичной известности. В случае, если не получиться по каким-либо причинам выполнить задачу этого периода, то это может обернуться против вас в виде: болезнь дыхательной системы, падение с высоты, аварии на высоких скоростях, забвение и блокировка самореализации. При этом вам для достижения программы данного периода жизни даются таланты такие как: все виды творческих талантов (наука, эзотерика, искусство). Умение добиться известности, публичности, очень романтичны.</t>
  </si>
  <si>
    <t>необходимо говорить правду, создавать комфорт в доме, красоту в офисе ил хотя бы творчески относиться к своей работе, стирка, уборка, готовить самой. В случае, если не получиться по каким-либо причинам  выполнить задачу этого периода, то это может обернуться против вас в виде болезней мочеполовых органов, любовных треугольников, предательства, сплетни, заговоры. Мужа могут увести просто из зависти к вам, чтобы насолить вам. При этом вам для достижения программы данного периода жизни даются таланты такие как: чувствовать ложь, и предательство заранее, будете знать, как выйти из негативного воздействия, как обойти проблему, предвосхитить план врага, чувствовать подвох.</t>
  </si>
  <si>
    <t>необходимо стать лидером в своем окружении, добиться высокой должности, помогать людям, должностные обязанности, лучше работать в сфере услуг, чиновники, не обязательно госслужба. В случае, если не получиться по каким-либо причинам  выполнить задачу этого периода, то это может обернуться против вас в виде: сильные воспалительные процессы, крах статуса и власти, подставы наставников, начальников, чиновников,человека не замечают, даже в очереди, больше предательство мужчинами. При этом вам для достижения программы данного периода жизни даются таланты такие как: умение добиться статуса и власти, высокой должности, быстрого карьерного роста, уважение к себе, организационные способности, убедительность, сила характера и духа, лидерские качества.</t>
  </si>
  <si>
    <t>помогать членам рода, соблюдать традиции народа, в т.ч. Закон Рито (Сергей Ковалев). В случае, если не получиться по каким-либо причинам  выполнить задачу этого периода, то это может обернуться против вас в виде генетических болезней детей, предательство рода, изгнание из рода. При этом вам для достижения программы данного периода жизни даются таланты такие как: все виды талантов рода, знание истории, традиций и устоев своего народа.</t>
  </si>
  <si>
    <t>необходимо жить за границей, работать в иностранных компаниях, помогать сородичам за границей. Прославлять родину. В случае, если не получиться по каким-либо причинам  выполнить задачу этого периода, то это может обернуться против вас в виде вирусных заболеваний редкие необычные, нельзя говорить плохо о родине, депортация, проблемы с иностранными документами. Выходить замуж за границей. При этом вам для достижения программы данного периода жизни даются таланты такие как: полиглот, умеет приспособиться в любой стране, подсознательно знает традиции, законы, менталитет других народов. Умеет управлять эмоциями других людей, новаторство, удача в путешествиях, предрасположенность иностранцев к вам. Страсть к лоску, к шику.</t>
  </si>
  <si>
    <t>необходимо иметь собственного ребенка, лично заниматься его воспитанием. В случае, если не получиться по каким-либо причинам  выполнить задачу этого периода, то это может обернуться против вас в виде инвалидности, проблемы с вынашиванием и рождением ребенка, множество не решаемых проблем, предательство детей. При этом вам для достижения программы данного периода жизни даются таланты такие как: умение найти общий язык с любым ребенком, создать неординарные эксклюзивные решения, их любят за их дружелюбие, могут быть легкими, общительными без комплексов.</t>
  </si>
  <si>
    <t>Задача по месяцу рождения</t>
  </si>
  <si>
    <t>Категория людей, которых нужно остерегаться (Мт+Гт)</t>
  </si>
  <si>
    <t>Братья и сёстры. Также это могут быть стажёры, ученики, ровесники, либо та, категория людей, которые моложе Вас.</t>
  </si>
  <si>
    <t>Вашем окружении, есть женщины к которым нужно быть максимально бдительными. Это в первую очередь может оказаться мама.  И все женщины, не вхожие в ваш дом, т.е. не члены Вашего дома: соседки, коллеги, знакомые женщины</t>
  </si>
  <si>
    <t>дети, люди, которые подсознательно не хотят иметь детей,человеку препятствия создают дети. Это может быть как и предательство детей, или болезненные роды</t>
  </si>
  <si>
    <t>коллеги, сплетни, подставы в профессиональной сфере. Таким людям надо, быть очень осторожным с коллегами, с партнёрами, товарищи по работе, начальство. Задача: Не иметь доверительных отношений на работе, не иметь партнёров. Если Вы ведёте бизнес, лучше вести его одному.</t>
  </si>
  <si>
    <t>Отец. Или же все мужчины не вхожие в Ваш дом. Рекомендации быть внимательным к мужчинам, доверяй, но проверяй</t>
  </si>
  <si>
    <t>супруг/супруга (партнер в отношении)</t>
  </si>
  <si>
    <t xml:space="preserve">Любой прохожий, может изменить вашу точку зрения. 
Ваша задача, выработать принципы! Кому верить, кому нет. «Семь раз отмерь, один раз отрежь» Быстрота вашего решения, может послужить препятствием.
</t>
  </si>
  <si>
    <t xml:space="preserve">контрагенты, люди с которыми заключаете договора, представители государственных органов, также вам нельзя работать в правовой сфере или лучше занимать должность без правовой ответственности. </t>
  </si>
  <si>
    <t>это старшее поколение</t>
  </si>
  <si>
    <t>бизнесмены, банкиры и все люди с которыми у вас финансовые обязательства, хранят и перекручивают ваши деньги,, бухгалтера, кто распоряжается деньгами, вам в долг давать нельзя.</t>
  </si>
  <si>
    <t>сильных, волевых, властных, успешных людей, так как вы вызываете страх и зависть.</t>
  </si>
  <si>
    <t>тем, кому вы бескорыстно помогли, поэтому надо помогать с корыстью, чем больше вложили, тем больше предательства</t>
  </si>
  <si>
    <t>тем, кому вы помогли в критической ситуации, опасной, экстремальной, для кого вы являетесь спасителем</t>
  </si>
  <si>
    <t>ущербные, неудачные, несосотоятельные люди, ленивые, у кого синдром жертвы, убогие.</t>
  </si>
  <si>
    <t>люди, связанные со сферой криминала, работающие вне закона, харизматичные, наглые, с подвигающие вас на криминальные схемы, вне закона, занимающиеся офшором</t>
  </si>
  <si>
    <t>люди на которых вы опираетесь при создании нового направления, лучше действовать в одиночку, лучше уходить в творчество (наука, эзотерика,искусство).</t>
  </si>
  <si>
    <t>творческие креативные люди, внешне легкие на подъем.</t>
  </si>
  <si>
    <t>люди, которых вы считаете близкими, приравненные к ним, кому особенно доверяете, любовники, льстивые люди.</t>
  </si>
  <si>
    <t>высшее руководство, представители власти, лучше уйти в бизнес, а не в госслужбу.</t>
  </si>
  <si>
    <t>семья и члены рода.</t>
  </si>
  <si>
    <t>любой иностранец или любого другого народа</t>
  </si>
  <si>
    <t>друзья, в этом случае держать всех под контролем</t>
  </si>
  <si>
    <t>Зона комфорта</t>
  </si>
  <si>
    <t>публичность, общественная деятельность, лекторство, получение/передача знаний.</t>
  </si>
  <si>
    <t>общение с женщинами, животными, выезды на природу, экологически чистые продукты и все что связано со словом ЭКО</t>
  </si>
  <si>
    <t>самореализация, воплощение идей в реальность, общение с детьми.</t>
  </si>
  <si>
    <t>карьера/работа</t>
  </si>
  <si>
    <t>общение с мужчинами, духовными наставниками, сфера религии, ведическая культура, идеологическое направление, правильный образ жизни.</t>
  </si>
  <si>
    <t>семья, семейные узы, долгосрочное партнерство, обязательно надо иметь семью.</t>
  </si>
  <si>
    <t>путешествия</t>
  </si>
  <si>
    <t>справедливость, осознанность, понимание перспектив, наличие выбора, правовая сфера, работа с документами</t>
  </si>
  <si>
    <t>экстрасенсорика (ясновидение, яснознание), развитые способности или уединение.</t>
  </si>
  <si>
    <t>деньги, бизнес, увернность в будущем</t>
  </si>
  <si>
    <t>сильные партнеры, защищенность, ощущение себя в любом аспекте как: перспективный бизнесмен, перспективный начальник, любят перспективу, перспективный партнер в семейной жизни, вам важно чувствовать себя непобежденным, не имеющим конкуренцию, равноправная сила в партнерстве лишь бы не было конкуренции.</t>
  </si>
  <si>
    <t>взаимопонимание, чувствование партнера, поэтому люди часто лезут в душу, пытаются понять причину поведения, им важна в этом случае дипломатия.</t>
  </si>
  <si>
    <t>экстрим, отсутствие уверенности в завтрашнем дне, смена событий, текучка работ и знакомств, отсутствие постоянства, любят когда все на грани риска, вы постоянно учитесь, "гостевой брак" для вас самый удобный вариант.</t>
  </si>
  <si>
    <t>стабильность, надежность, однообразие, предсказуемость, привычки, надо выбрать сферу, где стабильно.</t>
  </si>
  <si>
    <t>искушения, криминальность, сексуальность, магия, тайны, идите в секретную службу, в шоу бизнес.</t>
  </si>
  <si>
    <t>имущество, недвижимость, наличие собственного дома или хотя бы купить себе квартиру.</t>
  </si>
  <si>
    <t>слава, творческая реализация, сцена.</t>
  </si>
  <si>
    <t>домашний уют, комфорт, вкусная еда, красивый дизайн, одежда, домоседы, надо работать на дому.</t>
  </si>
  <si>
    <t>власть, статус, высокие должности, уважение и почет, вам нравиться руководить.</t>
  </si>
  <si>
    <t>родственные связи, семейный бизнес, взаимоотношения между людьми, выстроенные на доверии, наличие традиций, ремесел в роду, любят династии, передачу артефактов по наследству, вам обязательно надо создать свою семью.</t>
  </si>
  <si>
    <t>жить за границей, любовб к шикарному, комфорту как на европейском уровне, как "в высших домах Лондона".</t>
  </si>
  <si>
    <t>друзья первыше всего, множество проектов, рассеяность внимания, запускают сразу несколько проектов, им обязательно надо иметь одного близкого друга.</t>
  </si>
  <si>
    <t>Австрия, Алжи, Ангола, Ботсвана, Нагорно-Карабахская Республика, Нидерланды, Пакистан, Португалия - эти страны для вас являются кармическими, там можно только отдыхать или проводить деловые визиты сроком не более 21 дня.</t>
  </si>
  <si>
    <t>Боливия, Замбия, Испания, Мальдивы, Украина - эти страны для вас являются кармическими, там можно только отдыхать или проводить деловые визиты сроком не более 21 дня.</t>
  </si>
  <si>
    <t>Абхазия, Индонезия, Исландия, Йемен, Непал, Сербия, Уругвай, Чехия - эти страны для вас являются кармическими, там можно только отдыхать или проводить деловые визиты сроком не более 21 дня.</t>
  </si>
  <si>
    <t>Бельгия, Вьетнам, Гвинея, Гренландия, Острова Кайман, КНДР, Лихтенштейн, Монтсерат, Мьянма, Нигер, Папуа – Новая Гвинея, Перу, Словакия, Суринам, Токелау  - эти страны для вас являются кармическими, там можно только отдыхать или проводить деловые визиты сроком не более 21 дня.</t>
  </si>
  <si>
    <t>Афганистан, Бермудские острова, Гватемала, Египет, Кюрасасао, Лесото, Саба, Сейшельские острова, Турция, Эстония, Южная Осетия  - эти страны для вас являются кармическими, там можно только отдыхать или проводить деловые визиты сроком не более 21 дня.</t>
  </si>
  <si>
    <t>Австралия, Азербайджан, Барбадос, Бруней, Израиль, Коморские острова, Коста рика, Сенегал, Сен-Пьер и Микелон, США, Великобритания  - эти страны для вас являются кармическими, там можно только отдыхать или проводить деловые визиты сроком не более 21 дня.</t>
  </si>
  <si>
    <t>Бонэйр, Джерси, Маршалловы Острова, Саудовская Аравия, Швеция - эти страны для вас являются кармическими, там можно только отдыхать или проводить деловые визиты сроком не более 21 дня.</t>
  </si>
  <si>
    <t>Бахрейн, Гаити, ДНР, Колумбия, Куба, Мадагаскар, Микронезия, Полинезия Французская, Польша, Пуэрто-Рико, Таджикистан, Фареры, Эфиопия - эти страны для вас являются кармическими, там можно только отдыхать или проводить деловые визиты сроком не более 21 дня.</t>
  </si>
  <si>
    <t>Багамские острова, Гренада, Греция, Грузия, Камбоджа, Молдавия, ПМР, Россия, Румыния, Сент-Люсия, Танзания, Тринидад и Тобаго, Эквадор - эти страны для вас являются кармическими, там можно только отдыхать или проводить деловые визиты сроком не более 21 дня.</t>
  </si>
  <si>
    <t>Босния и Герцеговина, Бразилия, Гибралтар, Ирландия, Камерун, КНР, Литва, Мали, Мозамбик, Нигерия, Сингапур, Франция, Шри-Ланка, Экваториальная Гвинея - эти страны для вас являются кармическими, там можно только отдыхать или проводить деловые визиты сроком не более 21 дня.</t>
  </si>
  <si>
    <t>Армения, Болгария, Венесуэла, Гана, Гвинея-Бисау, Северной Кипр, Киргизия, Кот-д’Ивуар, Сальвадор, Словения, Узбекистан, Хорватия, ЮАР, Япония - эти страны для вас являются кармическими, там можно только отдыхать или проводить деловые визиты сроком не более 21 дня.</t>
  </si>
  <si>
    <t>Венгрия, Гваделупа, Гуам, Лаос, Мавритания, Мароко, Соломновы острова, Тунис, Филиппины, Чад, Чили - эти страны для вас являются кармическими, там можно только отдыхать или проводить деловые визиты сроком не более 21 дня.</t>
  </si>
  <si>
    <t>Аландские острова, Аргентина, Бутан, Гондурас, Иордания, Ирак, Ниуэ, Свазиленд, Сьерра-Леоне, Фолклендские острова, ЦАР - эти страны для вас являются кармическими, там можно только отдыхать или проводить деловые визиты сроком не более 21 дня.</t>
  </si>
  <si>
    <t>Бангладеш, Гайана, Гонконг, Италия, Ливан, Ливия, Малави, Мэн, ОАЭ, Самоа, Сан-Марино, Северные Марианские острова, Сент-Винсент и Гренадины, Эритрея - эти страны для вас являются кармическими, там можно только отдыхать или проводить деловые визиты сроком не более 21 дня.</t>
  </si>
  <si>
    <t>Андорра, Аруба, Буркина-Фасо, Гвиана, Германия, Катар, Южная Корея, Мальта, Судан, Тувалу - эти страны для вас являются кармическими, там можно только отдыхать или проводить деловые визиты сроком не более 21 дня.</t>
  </si>
  <si>
    <t>Ватикан, Восточный Тимор, Иран, Канада, Латвия, Макао, Новая Зеландия, Палау, Синт-Мартен, Финляндия, Южный Судан - эти страны для вас являются кармическими, там можно только отдыхать или проводить деловые визиты сроком не более 21 дня.</t>
  </si>
  <si>
    <t>Белоруссия, Доминиканская Республика, Тайвань, Конго, Кука острова, Македония, Монголия, Новая Каледония, Сент-Китс и Невис, Сирия, Тёркс и Кайкос, Уоллис и Футуна, Черногория, Ямайка - эти страны для вас являются кармическими, там можно только отдыхать или проводить деловые визиты сроком не более 21 дня.</t>
  </si>
  <si>
    <t>Вануату, Гамбия, Дания, Индия, Кувейт, Оман, Питкэрн острова, Македония, Сомали, Туркмения, Фиджи - эти страны для вас являются кармическими, там можно только отдыхать или проводить деловые визиты сроком не более 21 дня.</t>
  </si>
  <si>
    <t>Антигуа и Барбуда, Габон, Кабо-Верде, Кирибати, ЛНР, Люксембург, Майотта, Мексика, Норвегия, Реюньон, Самоа Американское, Сан-Томе и Принсипи, Сен-Мартен, Тайланд, Того, Тонга, Уганда, Швейцария - эти страны для вас являются кармическими, там можно только отдыхать или проводить деловые визиты сроком не более 21 дня.</t>
  </si>
  <si>
    <t>Албания, Бенин, Виргинские острова, Кипр, САДР - эти страны для вас являются кармическими, там можно только отдыхать или проводить деловые визиты сроком не более 21 дня.</t>
  </si>
  <si>
    <t>Белиз, Джибути, Кения, Республика Косово, Намибия, Науру, Панама, Остров Святой Елены - эти страны для вас являются кармическими, там можно только отдыхать или проводить деловые визиты сроком не более 21 дня.</t>
  </si>
  <si>
    <t>Родология</t>
  </si>
  <si>
    <t>Тип- учителя, ученые в высших заведениях. Талант - педагогика, лекторский, ораторский. Задача - получать, совершенствовать, передавать знания.</t>
  </si>
  <si>
    <t>Тип- знахари, врачи. Талант - знают травы, лекарства, чувствуют боль другого человека, целительство, понимают животных.</t>
  </si>
  <si>
    <t>Тип- воспитатели в частных домах.
Талант- материализация мыслеформы, умеют воплощать любую идею.
Задача- лично заниматься воспитанием своих детей, хотя бы делать с ними уроки.</t>
  </si>
  <si>
    <t>Тип - промышленники, бизнесмены. Талант - знают как выстроить бизнес на ровном месте, владеют всеми профессиями, которые потребуются в бизнесе. Задача - необходимо иметь собственный бизнес, сделать его семейным бизнесом.</t>
  </si>
  <si>
    <t>Тип - жреческий, любят политику. Талант - знания законов Кармы, мироздания, умение быть полезным людям, владение духовной эзотерикой, живоречение (вдохновляют жить своей речью). Задача - эзотерика и наука.</t>
  </si>
  <si>
    <t>Тип- домашние ремесленники. Талант- умеют выстраивать долгосрочные парнерские отношения, наладить деловые связи, создать гармонию в отношениях. Задача - стать добропорядочным семьянином, обязательно должны быть официальные отношенияс партнером, обязательное наличие детей.</t>
  </si>
  <si>
    <t>Тип- путешественники, исследователи, изобретатели, ученые. Талант - приспособиться к любым обстоятельствам, создавать в быту полезные вещи. Задача - заниматься исследовательской деятельностью, изучать культуру других народов.</t>
  </si>
  <si>
    <t>Тип- правоведы, юристы, приближенные ко двору. Талант- знают законы, как обойти законы или воспользоваться, умеют читать документы, чувстсвуют подвох. Задача- оказывать юридическую помощь, примирять стороны в конфликте.</t>
  </si>
  <si>
    <t>Тип- экстрасенсы. Талант- ясновидящие, яснослышащие. Задача - эзотерика, помощь пожилым людям.</t>
  </si>
  <si>
    <t>Тип- финансисты, банкиры, купцы. Талант - чувствуют перспективные проекты, денежные потоки, умеют делать деньги из воздуха. Задача - обеспечивать свою семью.</t>
  </si>
  <si>
    <t>Тип – защитники, военные, хирурги, спортсмены. 
Талант – умеют побеждать в конкурентной борьбе, обладают психо-физической силой. 
Задача - защищать словом членов семьи, держать оборону как щит, не нападая ни на кого первым.</t>
  </si>
  <si>
    <t>Тип - психологи, благотворители, соц работники, служители. Талант - умеют понять и оправдать кого угодно, успокоить, подсказать верный путь. Задача-  оказывать психологическую помощь, давать верные советы. Только может быть склонность к алкоголизму.</t>
  </si>
  <si>
    <t>Тип - революционеры. Оппозиционеры. Альтернативно-мыслящие люди. Талант - талант Раху, гипноз, умение видеть альтернативы, добиться чего-то нового, первооткрыватели. Обладают бесконтактным боем, силой мысли убивают человека, надо служить в спецслужбе.</t>
  </si>
  <si>
    <t>Тип - сельское хозяйство. Таланты - чувствование растения, селекция, в их руках живительная сила, ее можно применять в целительстве при регенерации ран, но нельзя подключать к лечению онкологии. Задача - кормить людей, выращивать растения.</t>
  </si>
  <si>
    <t>Тип - колдуны. Талант- колдовство, оккультизм, чувствование энергии, общаются с умершими, умеют организовывать любые процессы. Задача- организация мероприятий, эзотерика.</t>
  </si>
  <si>
    <t>Тип- строители, инженеры. Талант-знают как выстроить что угодно с нуля, понимают внутреннее строение чего угодно (машина, человек, дом). Задача- построить дом или следить за техническим состоянием дома.</t>
  </si>
  <si>
    <t xml:space="preserve">Тип - творческие люди. Талант- все творческие таланты, наука, эзотерика, искусство. Задача - заниматься творчеством, прославлять род. </t>
  </si>
  <si>
    <t>Тип- общественные ремесленники, кузнецы, цирюльники, сфера красоты и мода. Талант - все ремесленные таланты, умеют создать комфорт и уют, быть полезным людям. Задача - создавать комфорт в доме, лично наводить порядок, готовить, создавать комфорт, красоту.</t>
  </si>
  <si>
    <t>Тип- государственные чины, представители государства внутри страны, богатые, известные роды. Талант- умеют вдохновлять, знают как добиться успеха, статуса, власти, понимают устройство страны, любят политику. Задача- стремиться к карьерному росту, помочь близким добиться статуса и власти.</t>
  </si>
  <si>
    <t>Тип- дворянский род, они создавались из князей, которые были защитниками своего народа, а потом из них сделали шутами при Петре 1. Талант- знают родологию, закон Рито. Задача- соблюдать чистоту генетики, передавать родовые законы и ремесла.</t>
  </si>
  <si>
    <t xml:space="preserve">Тип- иностранные представители, гос. Чиновники, представляющие интересы за границей, дипломаты, консулы, МЭО. Талант- полиглоты, чувствование менталитет и законы других народов. Задача - защищать родину, прославлять родину, помогать сородичам за границей. </t>
  </si>
  <si>
    <t>Тип- сельские учителя, обладали всем спектром знаний, преподаватели. Талант- умение найти общий язык с любым человеком, легкость, коммуникабельность, дружелюбие. Задача- заниматься воспитанием любых детей, трех и более.</t>
  </si>
  <si>
    <t xml:space="preserve">ТП </t>
  </si>
  <si>
    <t xml:space="preserve">токсический стыд, знак сорри, без вины виноватый, зависит от мнения окружения, постоянно извиняются за все подряд
Событие+: Помощь со стороны малознакомых людей, вас понимают с полуслова, знают ваши потребности и дают столько сколько нужно, ваш покой оберегают, т.е. люди дорожат отношениями с вами, с вашим мнением считаются. 
Талант: умение почувствовать психоэмоциональное состояние человека, его внутренний мир, мотивы, намерения, умение успокоить, проявить тактичность и дипломатичность, оказать психологическую помощь.
</t>
  </si>
  <si>
    <r>
      <rPr>
        <sz val="16"/>
        <color theme="1"/>
        <rFont val="Times New Roman"/>
        <family val="1"/>
        <charset val="204"/>
      </rPr>
      <t xml:space="preserve">30. </t>
    </r>
    <r>
      <rPr>
        <sz val="9"/>
        <color theme="1"/>
        <rFont val="Times New Roman"/>
        <family val="1"/>
        <charset val="204"/>
      </rPr>
      <t>Ваш путь громкое и публичное самовыражении, согревание своим сиянием окружающий вас мир. Ваша миссия должна сопровождаться обязательным опытом в преподавательской деятельности. Вам необходимо делиться с окружающим миром вашими знаниями, опытом, навыками, наработками, мыслями, идеями, прогнозами. Причем, вам не стоит концентрироваться на этом, как на единственной профессиональной стезе. Если вы изберете другую профессию, то не забывайте о том, что вам необходимо все время быть в окружении большого коллектива людей, которым необходимо передавать ваш профессионализм, артистизм и талант.</t>
    </r>
  </si>
  <si>
    <r>
      <rPr>
        <sz val="16"/>
        <color theme="1"/>
        <rFont val="Times New Roman"/>
        <family val="1"/>
        <charset val="204"/>
      </rPr>
      <t xml:space="preserve">33. </t>
    </r>
    <r>
      <rPr>
        <sz val="9"/>
        <color theme="1"/>
        <rFont val="Times New Roman"/>
        <family val="1"/>
        <charset val="204"/>
      </rPr>
      <t>Самая сложная задача, предпологающая необходимость одновременно развиваться в трех направлениях: карьера, личная жизнь и способности. Отсутствие одного из направления вашего развития приведет к разрушению остальных.</t>
    </r>
  </si>
  <si>
    <t>необходимо развивать экстрасенсорику, помогать старшему поколению, важно быть независимым, самодостаточным, нельзя ни на кого опираться, брать ответственность на себя. В случае, если не получиться по каким-либо причинам  выполнить задачу этого периода, то это может обернуться против вас в виде психологической или физической утраты близких людей, чем больше зависим от других людей, тем выше риск потерять, временная изоляция через болезнь, безработицу, отсутствие общения, надо смотреть на все со стороны, не сопереживая сильно никому и советы давать также. При этом вам для достижения программы данного периода жизни даются таланты такие как: экстрасенсорика (ясновидение, яснознание), получение ответов в готовом виде.</t>
  </si>
  <si>
    <t xml:space="preserve">A a Á á B b D d E e F f G g Ǵ ǵ H h
I i I ı J j K k L l M m N n Ń ń O o
Ó ó P p Q q R r S s T t U u Ú ú V v
Y y Ý ý Z z Sh sh Ch ch    </t>
  </si>
  <si>
    <t>atrium</t>
  </si>
  <si>
    <t xml:space="preserve">11.7 Эта задача связана с необходимостью развивать в себе экстрасенсорные способности. Как бы странно это не звучало. Конечно во всем есть лазейки. Если не захотите стать мистиком и магом в светлом смысле этого слова, то вы можете бескорыстно помогать людям. Речь идет о благотворительности. Эта миссия сложна тем, что она всегда разбивает жизнь человека на две половинки.
У вас код белого мага!
Вам необходимо изучать биокосмоэнергетику/рейки, управление энергиями, лечить людей энергией.
</t>
  </si>
  <si>
    <t xml:space="preserve">Если вы поработаете над страхом публичных выступлений и чрезмерной опекой брата или сестры. В этом случае, Вы сможете найти общий язык с любым человеком, проявится талант ораторского мастерства, умение обучать и обучаться, быстро налаживать деловые связи, развитый интеллект, хорошая память.
Будут происходить такие положительные события как: помощь и поддержка от ровесников и тех, кто моложе, успешно решаются вопросы деловых коммуникаций, создавать условия для реализации новых целей, создаваемых человеком, обновление жизни. 
</t>
  </si>
  <si>
    <t xml:space="preserve">Преодолев в себе пренебрежение женскими капризами, слабостью, конфликтность и грубость, обиду на маму и всех женщин в целом.
Талант: умение почувствовать психофизическое состояние других людей, знахарство, целительство, травоведение, умение общаться с животными.
Событие +: помощь и поддержка со стороны женщин, покровительство и поддержка со стороны женщин, хорошее здоровье, человек способен видеть дефекты, знает как исправить.
</t>
  </si>
  <si>
    <t xml:space="preserve">нежелание иметь детей либо мама-наседка
Событие+: все цели человека продуманы до мелочей, реализуются сразу, легко, решаются все вопросы, создание визуального продукта, помощь со стороны детей, здоровье и успех детей, помощь детей, зачатие.
Талант: умение реализовать мыслеформу, воплотить мечты в реальность, понять необходимости других людей для самореализации (для этого надо конкретно представить мечту в подробностях), но если захотят стать родителем, в них заложен талант материнства и отцовства
</t>
  </si>
  <si>
    <t xml:space="preserve">не признанный гений, лень, халтура
Событие+: абсолютный успех в карьере, бизнесе в котором человек непосредственно сам принимает участие, успех и поддержка коллег, партнеров по бизнесу, перспективные контракты, верные стратегии. Такому человеку нельзя отстраняться от бизнеса.
Талант: умение создать бизнес условия для карьерного роста на ровном месте, легко налаживаются контакты, выстраивание их по деловому принципу "ты -мне, я - тебе".
</t>
  </si>
  <si>
    <t xml:space="preserve">Необходимо преодолеть обиду на отца либо неуважительное отношение к отцу.
Талант: мудрость, умение понять потребности других людей, умение помочь, зная, как сделать лучше.
События +: Поддержка со стороны мужчин, руководства, человек легко выбирает, верный путь, наставника, его вовремя отклоняют от бед, благоприятно решаются вопросы, связанные с духовной, интеллектуальной и эзотерической сферах.
</t>
  </si>
  <si>
    <t xml:space="preserve">нежелание идти на компромисс
Событие+: Успешный брак, рождение детей, правильный выбор партнера, перспективные и надежные отношения, помощь со стороны близких, искренность по отношению к вам (если любят –любят, если ненавидят –значит ненавидят)
Талант: умение быть комфортным, находить общий язык, быстро вливаться в коллектив, переходить на дружеское общение, выбирать партнеров, чувство перспективности отношений. Они видят в человеке, какой талант в другом человеке можно вскрыть.
</t>
  </si>
  <si>
    <t xml:space="preserve">знак морковка, ему требуется вдохновение для свершения, одобрение, волшебный «пендель», постоянно в сомнениях.                                         
Событие +: вопросы решаются реактивно быстро, но эффект не продолжителен, открываются любые дороги и в переносном смысле, удачные переезды, легкий карьерный рост, но знак не предполагает собственного бизнеса. Даёт успех во всех инновационных видениях, подходах. Исключает все лишние дороги, где препятствия-не надо лезть, чем новее проект, тем легче.    
Талант: умение приспособиться при любых обстоятельствах, создавать в быту полезные вещи, адаптироваться и ориентироваться в незнакомом месте, чувствуют быстрые и перспективные проекты, их риск всегда оправдан, реактивно движутся по жизни.
</t>
  </si>
  <si>
    <t xml:space="preserve">Про таких говорят - в каждой бочке затычка, завышенное чувство справедливости, желание решать чужие проблемы, чужая боль ближе родственной.            
        Событие+: Помощь со стороны государства в т.ч. Госслужба, успех в правовой сфере, жизнь предлагает несколько одинаково хороших перспектив (достаточно выбрать что интереснее и ближе), получение наследства, возврат долгов, иногда законы помогают конкретно вам или ваши косяки не замечают, выигрыш в судах. 
      Талант: чувствование документов, справедливость в отношениях, подсознательное знание законов, умение примирить в конфликте, найти дипломатичное решение, однако из-за этого в окружении часто бывают конфликтные отношения.
</t>
  </si>
  <si>
    <t xml:space="preserve">Необходимо преодолеть эффект «банный лист», страх одиночества, жертвенность, навязчивость, отсутствие чувства меры в отношениях.     Талант: дар экстрасенсорики (ясновидение, ясно знание), получение ответов в готовом виде. 
Будут происходить положительные события такие как: Успех во всех вопросах, которые человек продумывает и реализовывает один. Успех в индивидуальных проектах, а также в информационных и эзотерических сферах. Поддержка со стороны старшего поколения. Совместный бизнес с кем-то противопоказан либо последнее слово должно быть за вами, вы должны быть лицом принимающее решение. Есть риск остаться одиноким в жизни, если человек не принимает свою самодостаточность, нельзя ни на кого опираться и искать поддержки.
</t>
  </si>
  <si>
    <t xml:space="preserve">Необходимо преодолеть страх бедности, страх быть должным, финансовая скупость.
Талант: знание как преумножить капитал, прокрутить деньги, чувствуют рынок, зарабатывают на ровном месте, знают, где стоит "тумбочка".
События +: Крупный финансовый успех, бизнес, помощь приходит со стороны фин партнеров, контрагентов, банков, легко решаются вопросы, связанные с преумножением, расширением и циркуляцией процессов. Особенно хорошо если бизнес связан с постоянно меняющимися клиентами. Консалтинг не очень хорошо.
</t>
  </si>
  <si>
    <t xml:space="preserve">Необходимо преодолеть желание нападать первым, при этом считать, нападение лучшая форма защиты, страх конкурентной борьбы, провоцировать людей на конфликты и драки. 
Талант: умение преодолевать любые препятствия, побеждать в конкурентной борьбе, обладают психо-физической силой, могут воздействовать на людей, их враги сами сознаются в своих планах, им из-за этого кажется что среда вокруг них враждебна, обожают препятствия.
Событие +: проявляется невероятная внутренняя сила, защита от нападений, победа над врагами, успех в любом деле.
</t>
  </si>
  <si>
    <t xml:space="preserve">Необходимо преодолеть страх смерти, болезни, операций, рока, наказания, склонность к риску и экстриму, играют со смертью, если этот человек замолчал -значит боится, рисковать надо разумно.
Талант: умение найти альтернативные нестандартные решения, быстрота, острота мышления, умение найти выход из запутанной ситуации, им легче там, где сложно, обладают гипнозом, умеют убедить кого угодно в чем угодно, найти недостающие пазлы, выдающиеся адвокаты в истории.
События +: Человеку дают то, на что он даже не рассчитывал, резкие перемены в лучшую сторону, судьба человека ведет к высшим целям, отсекая бытовые проблемы.
</t>
  </si>
  <si>
    <t xml:space="preserve">Необходимо побороть в себе следующие качества: жадность эмоциональная, материальная, знаний, впечатлений, страсть что-то копить, коллекционировать, особенно коробочки.
Талант: как умение выращивать что угодно и где угодно, селекции, сельхоз навыки, руки обладают живительной силой, способны целить растения. Способность создать гармоничную обстановку где угодно, умеют жить в достатке (уплачены налоги, образование детям), а если выше достатка, то вас может переклинить и перейти в жадность, прослеживайте в себе такие проявления.
</t>
  </si>
  <si>
    <t xml:space="preserve">зависть, зависть от успеха других людей, не умение примириться с благополучием близких, склонность к манипуляциям и шантажам.                                                     События +: Катализирует успех, эмоции, блага всего, что вы хотите, не создает, а увеличивает, дает возможность раскрыть экстрасенсорику, нр, интуицию, сновидения и через воздействие на людей получить любой желаемый результат, наколдовать. Успех во всех областях, связанных с организацией и контролем.
Талант: дар ясновидения, пророческий дар, колдовство, умение предвидеть ситуации, организовать любые процессы, экстравагантные видения, умение манипулировать людьми
</t>
  </si>
  <si>
    <t xml:space="preserve">задняя передача, человек живет прошлым, больше боится потерять взаимосвязь отношений с людьми, боится открывать новые перспективы
Событие+: Успех в вопросах недвижимости, частного бизнеса, строительство чего угодно с нуля, возможно покупка недвижимости в любой точке планеты.
Талант: умение выстроить что угодно с нуля. Стратегическое мышление, умение что угодно починить, усовершенствовать, дополнить. Знак недвижимости, строительства, риелтор, ремонт. На высшем уровне - это духовник, выстраивающий мировоззрение
</t>
  </si>
  <si>
    <t xml:space="preserve">Вы из категории людей, которые имеют сразу два недостатка: 1. заниженная самооценка по вопросу творчества, не признают своих талантов, не умеют выражать свои чувства и эмоции. Их окружению не стоит обижаться на их комплименты, у них закрыта романтика, не могут сказать о любви и о добре.
Событие+: Творческая реализация, слава, почет, известность, человек легко решает любые вопросы, особенно основанные на самореализации, поддержка со стороны друзей, развитие экстрасенсорики, легкий взлет с продолжительным эффектом.
Талант: все виды творческих талантов (наука, эзотерика, искусство). Умение добиться известности, публичности, очень романтичны.
</t>
  </si>
  <si>
    <t xml:space="preserve">Неумение прощать, иметь черные списки своих врагов, не давать второго шанса, подозрительность, страх быть преданным.
Событие+: налаженные отношения с близкими, благоприятно решатся любые вопросы связанные с красотой, уютом и комфортом, все вопросы делового характера будут изложены честно, поэтому в это период благоприятно выводить на чистую воду, решать старые конфликты, задавать прямые вопросы.
Талант:   чувствовать ложь, и предательство заранее, будете знать как выйти из негативного воздействия, как обойти проблему, предвосхитить план врага, чувствовать подвох.
</t>
  </si>
  <si>
    <t xml:space="preserve">Необходимо преодолеть самую тяжелую точку препятствия: заниженная самооценка во всем, надо проработать только с психологом, они в жизни или коврик, или царь.
Талант: умение добиться статуса и власти, высокой должности, быстрого карьерного роста, уважение к себе, организационные способности, убедительность, сила характера и духа, лидерские качества.
События +: Поддержка со стороны государства, успех в карьере, открыты все дороги, бизнес, спорт, брак по расчету, им важен статус.
</t>
  </si>
  <si>
    <t xml:space="preserve">Преодолев брезгливое отношение к своему роду, часто говорят что не из этой семьи, им надо прославиться.
Событие+: успех во всех вопросах, связанных с родом, бизнесом рода, продолжение рода, преумножение капитала рода, поддержка со стороны родни.
Талант: вы раскроете все виды талантов рода, знание истории, традиций и устоев своего народа.
</t>
  </si>
  <si>
    <t xml:space="preserve">Необходимо преодолеть завышенный патриотизм, страх полетов на самолете, страх что не смогут прижиться за рубежом, хотя наоборот их иностранцы воспринимают как своих и им там будет успешнее жить.
Событие+: Успех за границей, деньги, карьера, бизнес, семья, счастье за границей, открывает возможности о которых человек мечтал в детстве, но реализация казалась не реальным.
Талант: полиглот, умеет приспособиться в любой стране, подсознательно знает традиции, законы, менталитет других народов. Умеет управлять эмоциями других людей, новаторство, удача в путешествиях, предрасположенность иностранцев к вам. Страсть к лоску.
</t>
  </si>
  <si>
    <t xml:space="preserve"> Необходимо преодолеть «синдром блондинки», наивного ребенка, человек прикидывается дружелюбным и открытым, хотя может быть весьма расчетливым, капризным, перетягивать одеяло на себя, подставлять, переводить стрелки.
Талант: умение найти общий язык с любым ребенком, создать неординарные эксклюзивные решения, вас будут любить за дружелюбие.
События +: Успех в рождении и воспитании детей, но в целом трактуется как множество успехов, можно запускать сразу несколько процессов.
</t>
  </si>
  <si>
    <t xml:space="preserve">Предательство вашего брата или сестры в прошлой жизни
В прошлой жизни Вы совершили предательство своего единокровного брата или сестры. В этой жизни, в качестве искупления греха, Вы становитесь всем ему/ей обязанным - интеллектуально, духовно и материально. Поэтому Вы с данной ошибкой не должны допускать во взаимоотношениях обид и конфликтов, тем более совершать предательство брата или сестры. Необходимо безвозмездно жертвовать собой в его/её пользу. Если предательство пришло со стороны брата или сестры, необходимо это простить, это будет отработкой кармического греха. В случае, если единокровного брата или сестры нет, отработка наказания может быть связана со сводными родственниками, а также с любым «младшим» соратником, которого Вы принимаете за брата или сестру.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Брезгливое отношение к брату или сестре.  Считает, что брат или сестра ему обязаны, зависть к братьям и сестрам, брезгливость к младшему поколению, грубость к недостаткам других людей. Проявление обиды и завести по отношению к братьям и сестрам, ровесникам.
Не желание учиться и обучать, познавать что-то новое. Не хочет думать самостоятельно, желание получить все сразу и целиком. 
Непризнание учителей, наставников, неуважение к учителям, капризное отношение к учителю, отсутствие авторитетов. 
Страх перед публичными выступлениями.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Предательство брата, сестры, учителя, учения, утаивание информации.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Предательство со стороны брата или сестры, неуважительное отношение и игнорирование с их стороны, обиды с их стороны.
Неправильное обучение, предательство молодого партнера, стажёров, учеников.
Крах молодого бизнеса или ранних отношений, проблемы с оформлением документов. Человек становиться жертвой мошенников. Предательство со стороны родственников, деловых партнеров и тех, кто моложе.
Аспекты здоровья и самочувствия: все, что отвечает за коммуникации в обществе - нарушение памяти, слуха, зрения, речи, вплоть до серьезных последствий. Заболевания и травмы, связанные с головой, болезни глаз, нарушение слуха и памяти, неврозы.
Совет - необходимо оказывать любую помощь и поддержку брату или сестре, и тем, кто моложе. Конфликты не допустимы.
</t>
  </si>
  <si>
    <t xml:space="preserve">Предательство мамы и материнских чувств
В прошлой жизни Вы совершили предательство матери. В этой жизни, в качестве искупления греха, становитесь ей полностью обязанным - интеллектуально, духовно и материально. Вы должны заботиться о ней, не допускать конфликтов и тем более не обижаться. С данной ошибкой вероятны проблемы, связанные с зачатием и вынашиванием. Ликвидация проблемы напрямую зависит от качества взаимоотношений с мамой. В случае, если матери нет (не стало), отработка ложится на свекровь/тёщу или ту женщину, которая заменяет человеку мать.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Грубое отношение к маме, конфликты с мамой, непризнание женских талантов и ума, зависть к женщинам, повышенная обидчивость. 
Обида на женщин, предвзятое отношение к женщинам, человек считает, что женщина ему обязана, неуважение по отношению к женщине, не ценит женский труд, зависть по отношению к любой женщине даже маме. Арабский тип мышления (должна, обязана).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Конфликты с мамой, нежелание помогать маме.
Предательство женщин, подавление их талантов и возможностей, непризнание женских слабостей.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Обиды со стороны мама, чрезмерное и доминирующее влияние матери или другой старшей женщины, предательство мамы или всех женщин, вмешательство подруг в отношения, предательство деловых партнеров – женщин, любая женщина может остановить и нарушить Ваши планы, отсутствие доверия, клевета, двусмысленность в отношениях.
Аспекты здоровья и самочувствия: болезнь мамы, блокировка деторождения через выкидыши, сложности с зачатием, болезни мочеполовой и выделительной системы, нарушения обменных процессов в организме.
Совет - Важно во всем помогать вашей маме, не обижаясь. Конфликты не допустимы. Корректное отношение ко всем женщинам.
</t>
  </si>
  <si>
    <t xml:space="preserve">Предательство ребенка, отказ иметь ребенка или воспитывать его
В прошлой жизни Вы отказались от воспитания собственных детей или не продолжили свой Род вовсе. В этой жизни, в качестве искупления греха, Вы становитесь ему полностью обязанным - интеллектуально, духовно и материально. Прежде всего, человеку следует продолжить свой Род, затем самостоятельно поставить на ноги ребёнка, то есть определить его задачи и таланты, направить по пути профессионального развития и выполнения предназначения.  С данной ошибкой вероятны проблемы, связанные с зачатием и вынашиванием. Ликвидация проблемы напрямую зависит от желания обоих партнёров иметь ребёнка. Кроме того, кармически обусловлены трудности, связанные с одиночным родительством или проблемами во взаимоотношениях с свекровью.
В этой жизни обязаны иметь своих детей, отдать ему всю любовь, тепло, заботу и ласку за эту жизнь, и за ту прошлую, конфликты недопустимы.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Неуважение к детям, нежелание иметь детей, применение шантажа, посредством детей, манипуляция детьми. Зависть к ребенку, нежелание трудиться для материализации планов, уход от ответственности, капризность в быту. 
Чрезмерные страх и беспокойство за близких, за их жизнь, здоровье, успех, капризность в быту.
Властность, жесткость, гордыня, давление, излишний контроль над своими детьми и близкими. Доминанта женщины над мужчиной, подавление мужской энергии. Завышенная планка требований.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Бросить ребенка в беде и болезни, оскорбить чувства матери, жадность, проявленная к любым детям, любая форма защиты от зачатия, в том числе психологическое. Не желание иметь детей или нести за них ответственность.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Психологическая или физическая утрата ребенка. 
Планы, продуманные до мелочей, не реализуются. Остановка деловых процессов, все останавливается на уровне плана.
Карма притягивает мужчин, которые не могут или не хотят иметь детей. Конфликты со свекровью, тещей. Опасные партнеры по браку, которые способны причинить вред здоровью.
Аспекты здоровья и самочувствия: Женская репродуктивная система, кожные покровы, волосы, гормональная система, болезни детей, воспаление мочеполовой системы, трудности зачатия, тяжелые роды, неработоспособность.
Совет - Требуется лично заниматься полноценным воспитанием собственного ребенка. Конфликты не допустимы.
</t>
  </si>
  <si>
    <t xml:space="preserve">Жил за чужой счет или недобросовестно относился к работе и перекладывали свою ответственность на других людей.
В прошлой жизни Вы жили за чужой счёт и проявляли лень в профессиональной деятельности. В этой жизни, в качестве искупления греха, Вы должны стать абсолютным профессионалом в выбранной области, не проявлять в ней лени и халатности и, соответственно, обеспечивать себя и семью самостоятельно. Необходимо наперекор всему выстраивать карьеру, трудолюбием самостоятельно добиться высокого карьерного роста. Вас могут уволить по какой-то прихоти, можете иметь небольшой бизнес.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Лень, нежелание работать, халатность в работе или трудоголизм, работа превыше всего. 
Жёсткость, властность, желание манипулировать и контролировать других людей, перекладывать ответственность на другого человека. Желание реализоваться за счет другого человека, капризность в работе. Желает все получать уже в готовом виде.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Жизнь за чужой счет, профессиональные ошибки, подставы на работе, халатность и лень в работе.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Предательство коллег, подставы на работе, увольнение, крах карьеры и бизнеса, предательство партнеров в бизнесе, отсутствие самостоятельности в работе. Не пускают на руководящие, кража бизнеса, остановка любых профессиональных вопросов, в связи с предательством делового партнера или коллеги. Остановка любых профессиональных вопросов, срыв сделок и договоров.
Аспекты здоровья и самочувствия: заболевания и травмы позвоночника, повреждения опорно-двигательного аппарата, боли в спине.
Совет - важно трудолюбием самостоятельно добиться карьерного роста.
</t>
  </si>
  <si>
    <t xml:space="preserve">Предательство в отношении отца и отцовских чувств
В прошлой жизни Вы совершили предательство отца. Из-за Вас развелись родители, Вас воспитывала мать, и Вы не общались с отцом.  Поэтому в этой жизни возможны конфликты с отцом, его предательство Вас или вообще отсутствие отца. В качестве искупления греха, Вы становитесь ему полностью обязанным - интеллектуально, духовно и материально. Ни в коем случае, ни при каких обстоятельствах не обижаемся на отца! За любую его «подлость» говорим «спасибо»! Выполняем любые его «прихоти» в любое время дня и ночи! «Склеиваем» отношения родителей! Важно во всем помогать Вашему отцу, конфликты и обиды на отца и мужчин недопустимы. Вы должны проявлять заботу об отце, не допускать конфликтов и тем более не обижаться. В случае, если отца нет (не стало), отработка ложится на свёкра/тестя или того мужчину, который заменяет человеку отца. По данной ошибке у женщин вероятны проблемы в построении семейных отношений. Ликвидация проблемы напрямую зависит от качества взаимоотношений с отцом или его заместителем.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Обида на отца и мужчин в целом, раздражительность к проявлению силы и защиты. Считает, что мужчины ему обязаны. Фиминизм, цинизм, проявленный к мужчинам, недоверие и грубость к мужчинам, неуважение к начальству, конфликты по отношению к отцу.
Нежелание духовно развиваться, слушать советы и наставников, воспринимать чужие советы, неприятие ценностей, которые дают хорошие знания. Постоянное стремление кого-то поучать, делать замечания, навязывать свои взгляды и принципы.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Предательство мужчин, отца, наставника. Недоверие к мужчинам, оставление в беде и опасности отца или духовного наставника.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Любая форма предательства отца, болезнь, смерть отца. 
Предательство со стороны мужчин, конфликты с мужчинами, болезни близких мужчин.
Подставы со стороны непосредственного руководства, предательство начальства, любые начатые процессы могут остановиться из-за мужчин. 
Отсутствие всякого порядка, как в отношениях, так и в мыслях, проблемы в семейных взаимоотношениях, бунтарство, а также подверженность фанатичному влиянию любой веры и сект.
Аспекты здоровья и самочувствия: все железы, лимфатическая система, слизистые оболочки, интоксикация организма.
Совет - Важно во всем помогать вашему отцу, не обижаясь. Не допускать со своей стороны предательство мужчин, наставника, нельзя оставлять в беде и опасности отца, выражать почет и уважение мужчинам в целом.
</t>
  </si>
  <si>
    <t xml:space="preserve">Предательство семейных уз, измены, разрушение семей. Предательство партнера по браку.
В прошлой жизни Вы совершили предательство своего супруга, чаще всего это связано с многочисленными изменами. В этой жизни, в качестве искупления греха, Вы должны проявлять заботу о своём супруге, а измены Вам категорически запрещены. Довольно часто, снова допустив эту ошибку, Вы можете попасть в аварии. С данной ошибкой вероятны проблемы, связанные с зачатием и вынашиванием. Ликвидация проблемы напрямую зависит от качества взаимоотношений между супругами.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Капризность в семейных отношениях, перетягивание одеяла, нежелание уступать, жертвовать, подчиняться, просить прощение. Нежелание идти на компромисс, выстраивать диалог, заботиться о близких. Нежелание выстраивать любые партнерские отношения.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Измены и предательства близких людей, измена во всех формах, игра на нервах партнера.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Предательство партнеров, любовные измены, нежелание других людей по отношению к вам идти на компромисс, нежелание понимать ваши чувства. Конфликты с супругом, развод с дележкой имущества и детей, расставание с партнером.
Неожиданные остановки подписания контрактов, срыв сделок без объяснения причин, аврал в работе.
Аспекты здоровья и самочувствия: сердечно сосудистая система, кроветворная, нервная и мочеполовая системы организма, переутомление и депрессивные состояния.
Совет - важно уметь показать искреннее отношение, прощая измены и предательства.
</t>
  </si>
  <si>
    <t xml:space="preserve">Препятствование достижениям людей. Преграждали дороги другим людям, заняли место не достойно.
В прошлой жизни Вы преграждали дорогу другим людям: игнорировали свободу воли человека, подавляли чужие желания и чрезмерно властвовали. В качестве кармических черт характера человек и в нынешней жизни считает, что его мнение самое правильное, не желая прислушиваться к взглядам, желаниям и нуждам оппонентов. В этой жизни, в качестве искупления греха, человеку не следует категорично настаивать на своём мнении, не оставляя оппоненту права на свободный выбор, в том числе запрещать родственникам (например, ребёнку) делать свободный выбор в пользу той или иной профессии. Это значит, что, если ребёнок хочет петь, а родитель считает, что юриспруденция - это более престижное занятие и принуждает ребёнка к этой профессии, он снова повторяет ошибку прошлой жизни. В данном случае необходимо поддержать своего близкого человека и пройти с ним выбранный путь, даже если он кажется неправильным. Если человек чрезмерно властвует и подавляет, в его жизни вероятны частые попадания в аварию и проблемы опорно-двигательного аппарата.
Имея такую ошибку в прошлом необходимо бескорыстно помогать реализовываться чужим идеям.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Зависть к достижениям других людей, нежелание двигаться с места, что – либо делать, стремление к легкому пути за счет другого человека. Капризность, отрицание идеи, раздражительность по отношению к тем, кто готов помочь. Манипуляция близкими людьми, лень, бездействие. Множество сомнений, смятений, потребность иметь вдохновителя, покровителя.
Авторитарность, воинственность, враждебность. Не умение контролировать свои эмоции. Достижение целей любыми средствами. 
Не умение ставить цели и достигать их, боязнь проявить лидерские качества. Человек – хамелеон, склонен переобуваться, менять свое мнение, точку зрения.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Подавление других людей, навязывание своей воли, лень, желание занять чужое место не предпринимая усилий, подавление тех, кто не может ответить.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Перекрытие профессиональных дорог, запреты со стороны близких людей, давление со стороны людей, ощущение замкнутого круга. 
Застой в делах, остановка дел на неопределенный срок, обездвиженность процессов. Остановка карьерного роста.
Аварии, проблемы с автотранспортом, поломки и повреждения автомобиля, проблемы с автокредитом, неудачные поездки, вынужденный переезд.
Аспекты здоровья и самочувствия: опорно-двигательный аппарат, костная система, суставы, связки, отложения солей, мышцы, болезни и повреждения ног, вплоть до обездвиживания в разной степени и по разным причинам, замедленная нервная реакция.
Совет - необходимо бескорыстно помогать другим людям и их идеям реализоваться.
</t>
  </si>
  <si>
    <t xml:space="preserve">Намеренное нарушение закона
В прошлой жизни человек нарушил закон и не понёс за это судебного наказания. В этой жизни, в качестве искупления греха, человек должен стать блюстителем закона, соблюдать каноны морали и нравственности. Следует стабильно выплачивать налоги, штрафы и долги (даже взятые под честное слово). Если человек попадает под судебное разбирательство, где является виновным, ему рекомендуется понести наказания, иначе, спустя время, его настигнет более серьёзная судебная кара за то, чего он и вовсе не совершал.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Мошенничество, конфликтность,  некорректное отношение к справедливости, недоверие к государству, желание саморасправы, желание нарушить закон, закон не имеет значение, я выше закона.
Либо наоборот, повышенная требовательность к правовой чистоте, человек не может нарушить закон даже в малом, желание жить по регламенту, любит правила и инструкции, отсутствие гибкости, завышенная потребность в справедливости.
Отсутствие равновесия, перегибы, поиски проблем в окружающих, а не в себе. Обвинение окружающих.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Желание нарушить закон (будет искушать бухгалтер, бизнес - партнер), - любая форма нарушения закона.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Проигрыш в судах, несправедливое решение суда, повышенный интерес правоохранительных органов, юридическая несправедливость, проигрыш в судах, несправедливое решение суда вплоть до тюремного заключения. Отказ в наследстве, неправомерные несправедливые штрафы, судебные решения, ошибки в документах, подставы партнеров по бизнесу, конфликты и недоразумения. 
Аспекты здоровья и самочувствия: болезни, связанные с нарушением обмена веществ, болезни носящий затяжной и хронический характер, болезни парных органов, диабет, расстройства памяти, речи и мышления, раздражительность и депрессия.
Совет - важно соблюдать закон, прощать несправедливость, мошенничество, штрафы.
</t>
  </si>
  <si>
    <t xml:space="preserve">Умышленное оставление в беде и болезни родственника, как правило родителей
В прошлой жизни человек вёл одиночный и единоличный образ жизни, ввиду чего оставил своих родителей в беде или болезни, не проявив в нужное время о них должной заботы. В этой жизни, в качестве искупления греха, человек должен в первую очередь заботиться о своих родителях, быть внимательным к близким, не стремиться к тотальному одиночеству, исключая из круга своих обязанностей заботу о семье.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Замкнутость, уход в себя, уход от мира, синдром одинокого волка, человек отказывается общаться с другими людьми, проявляет эгоцентризм, для него чужая проблема – это пустая трата времени, для него важны только свои интересы, сознательно отстраняется от людей, что приводит к «социальной смерти», но это приводит к открытию экстрасенсорных способностей.
Самореализация, отстранение от чужих проблем, состояние одиночества, отказ от любви и земных удовольствий. Нежелание помогать и делиться знаниями. Нелюбовь к людям, нелюбовь к себе. 
Нежелание заботиться о старшем поколении Рода, ухаживать за больными, неуважение к родителям, перетягивание одеяла на себя.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Оставить в болезни и беде близких людей, старшее поколение, нежелание им помогать. Перекладывание ответственности за здоровье близких людей на других людей (нужно заниматься здоровьем близких), отказ оказывать поддержку близким.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Отказ людей от общения, социальная смерть (не на кого опереться, некому позвонить). Утрата самых близких людей. Изоляция через больницу или тюрьму.
Аспекты здоровья и самочувствия: Длительные и мучительные болезни, изоляция через больницу, психические нарушения, беды от близких людей.
Совет - не замыкаться в себе, действовать непривычным для себя путем, больше контактировать с людьми. Оказывать помощь всем членам рода.
</t>
  </si>
  <si>
    <t xml:space="preserve">Продуманное банковское, финансовое мошенничество, кража.
В прошлой жизни Вы совершили финансовое преступление или нарушили взятые на себя финансовые обязательства. Это могло быть связано с хищением денежных средств, либо другими финансовыми махинациями.  В этой жизни, в качестве искупления греха, Вам не следует иметь отношения к финансовым преступлениям и жить за чужой счёт. Не рекомендуется брать какие-либо кредиты, потому что могут возникнуть проблемы с их выплатой. Вы должны честно и самостоятельно зарабатывать средства для решения своих финансовых вопросов. Рекомендуется также ежемесячно отдавать 10% от прибыли на благотворительные цели.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Страх бедности, жадность, меркантильность, скупость, стремление к легким деньгам, манипуляция с деньгами, желание нарушить финансовые обязательства, болезненное отношение к деньгам. Склонны к мошенничеству, манипуляциям, вымогательству денег, непонимание ценности денег, склонны к растратам, либо к накоплениям.
Желание быстрой наживы, склонность к азартным играм с целью легких и незаконных денег. Бесцельное прожигание жизни, несамостоятельность.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Зависть к чужим доходам, кредиты, ипотека, нарушение и невыполнение финансовых обязательств даже в устной форме.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Крупные финансовые долги и потери, резкое разорение, растраты, отток и потеря денег, крах бизнеса, финансовые подставы, проигрыши в судах по коммерческим вопросам, кражи, хищения, ваши деньги могут «зависнуть» на неопределенный срок.
Отсутствие видимых удач, повседневность и рутина.
Аспекты здоровья и самочувствия: Остановка циркуляции жидкости, лимфы, вязкость крови, склонность к образованию тромбов, появление отеков.
Совет - необходимо соблюдать финансовые обязательства, прощать хищения. Нельзя проявлять жадность, меркантильность, скупость, желание жить за чужой счет.
</t>
  </si>
  <si>
    <t xml:space="preserve">Причинение вреда здоровью человеку, убийство животного.
В прошлой жизни Вы причинили тяжкий вред здоровью другого человека или животного посредством применения физического или психологического воздействия.  В этой жизни, в качестве искупления греха, Вам не следует вступать в драки и серьёзные конфликты. Вам необходимо проявлять заботу о своём окружении, а также рекомендуется завести животное и заботиться о нём. Любые конфликты Вы должны научиться решать словом без применения силы, а конкурентную борьбу выигрывать за счёт природных лидерских способностей и знаний. Если вдруг повторно допустили ошибку, появляется вероятность насилия и увечья в свой адрес. Это может быть связано как с разбоем, так и с нападением животных. Кроме того, особенностью Кармы по этому знаку является частота неправильных диагнозов при медицинских обследованиях или врачебных ошибок во время операций. Поэтому прежде, чем проводить операцию, Вам требуется удостовериться в правильности диагноза сразу у нескольких врачей, а операции не ставить на одиннадцатые числа любого месяца и ноябрь в целом.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Ершистость, драчливость, напористость, конфликтность, страх конкурентной борьбы, агрессивные, необдуманные действия. Человек лезет на рожон, провоцирует драки, конфликты, споры, считает себя сильнее соперника. Не умеет проигрывать, смягчать обстановку, склонен драться, неконтролируемая агрессия. Неумение отдыхать и расслабляться.
Трусость, не верят в себя и в свои силы, когда необходимо защищаться у них душа в пятках, такие люди сдаются, не вступая в борьбу.
Лень по отношению к своему физическому телу, нежелание следить за его состоянием.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Психологическое и физическое подавление человека, причинение боли, в том числе животным. Причинение вреда другим людям (нельзя ставить на стол то, что причиняет вред).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Нападение, драки, провокации, болезненное соперничество души и духа, высокая конкуренция, усталость, опасные тайные враги, победа на их стороне, резкие проигрыш в любой схватке, конфликты и неверные решения, тяжелая, пустая, неблагоприятная работа, потери материальных ценностей.
Аспекты здоровья и самочувствия: Травмы, переломы, раны, порезы, ушибы, повреждения тканей, неудачные хирургические операции, неправильно поставленные диагнозы, врачебные ошибки, все, что связанно с потерей крови. Падения и переломы.  Психические нарушения, заболевания половой системы.
Совет - Оказывать медицинскую опеку и заботу людям и животным. Быть предельно внимательным и щепетильным в вопросах медицины, перепроверять диагнозы, УЗИ и пересдавать анализы.
</t>
  </si>
  <si>
    <t xml:space="preserve">Надменное, грубое и циничное отношение к людям, бездушность
В прошлой жизни Вы не проявляли сочувствия, терпения и сострадания к своему окружению, были грубым, эгоистичным, не умели принимать чужую точку зрения. В этой жизни, в качестве искупления греха, Вам не следует допускать грубости, высокомерия и стремления критиковать. Необходимо стать истинным "психологом" (здесь имеется в виду качество характера, а не профессия), проявлять понимание, милосердие и дипломатичность во взаимоотношениях с людьми. Кармически обусловленным может быть критика и грубость в адрес самого человека, решением является работа над собой изнутри. Данная ошибка ведёт за собой серьёзные заболевания, поэтому является одной из важнейших и труднейших для отработки.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Грубость, хамство, цинизм, высокомерие, пренебрежительность, неблагодарность, отсутствие сочувствия и сострадания, нежелание помогать, жертвовать, войти в положение другого человека, человек ставит свои интересы превыше других.
Склонность к депрессии и обидам, отсутствие эмоциональной стабильности, боязнь публичного осуждения, апатия и усталость.
Преобладание негативного мышления, неумение отпускать и начинать новые жизненные циклы. Чрезмерная нагрузка чужих проблем на свои плечи и на свою голову, жертвенность, нелюбовь к себе, навязчивая забота и внимание, чрезмерная привязанность к человеку, к объекту любви, желание страдать, подвешенное состояние, провисание, отсутствие движения.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Любая форма грубости, выведение на эмоции, конфликты, навязчивость людей, отсутствие понимания и поддержки давления.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Отсутствие понимания, уважения, мягкости в общении, отсутствие милосердия по отношению к человеку, человека не понимают, унижают, не воспринимают всерьез, психически подавляют.
Зависшая болезненная для человека ситуация, утрата денег и здоровья, плохие отношения с кем – либо, предательство самых близких людей (доверительный круг), отсутствие общения, понимания, одобрения, развивается склонность к алкоголю, депрессивности.
Аспекты здоровья и самочувствия: тяжелые болезни (в том числе онкология), проблемы с психикой, алкоголем, наркотиками, суицид, депрессии, психические отклонения.
Совет: Проявлять милосердие и терпение, прощать грубость и хамство.
</t>
  </si>
  <si>
    <t xml:space="preserve">Не умышленное причинение смерти человеку, в том числе, самооборона, защита родины, военные.
В прошлой жизни Вы стали причиной смерти другого человека. В этой жизни, в качестве искупления греха, Вам стоит взять на попечение недееспособного человека, чтобы проявлять о нём ту или иную заботу. Кроме того, рекомендуется завести чёрную кошку любого пола, так как она стягивает негативную карму, в случае, если с ней произошёл несчастный случай, это говорит о том, что животное отвело от Вас кармическое наказание. Не следует также выбирать опасные профессии, которые могут стать причиной чужой (полиция, медицина, военное дело) или собственной (полиция, военное дело, пожарные, МЧС) смерти. Также следует аккуратно водить машину, так как людям под этим знаком наиболее часто бросаются под колёса люди и животные, лучшим решением будет езда на общественном транспорте или личный водитель (без аналогичного знака).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Проявление эгоизма, резкости, склонен к риску, не признает ценности чужой жизни, подвергает себя и других опасности. Тяга к экстремальным видам спорта.
Страх перемен, сложно принимает решения. Страх за жизнь близких.
Навязывание перемен силой, жестокость, холоднокровие. 
Желание причинить боль физическую, психологическую, могут угрожать, причинить неприятности.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Причинить смерть любому живому организму (кроме насекомых и растений), склонность разрушить, убить (чувства, привязанность).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Неожиданные перемены в худшую сторону, результат хуже ожидаемого в несколько раз, смерть планов, карьеры, отношений.
Ничего нельзя запланировать, ставит на всем крест планов, реализация их без возможности восстановления, фатальная смерть, вероятность смерти близких людей.
Аспекты здоровья и самочувствия: скоротечные, тяжелые болезни, переходящие в хронические. Иммунные заболевания, онкология.
Совет - нести полную опеку о недееспособном человеке. Завести четвероногого друга.
</t>
  </si>
  <si>
    <t xml:space="preserve">Разорение семейного бюджета или ремесла
В прошлой жизни Вы разорили свою семью или послужили причиной разрушения семейного бизнеса. В этой жизни, в качестве искупления греха, Вы должны самостоятельно создать бизнес (или построить карьеру), дабы приумножить семейный капитал, либо приобрести некую ценность, которую впоследствии сможете передавать по наследству. Необходимо самостоятельно обеспечивать свою семью, передать потомкам доход.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Проявление любой формы жадности, жажды власти, любви, знаний, эмоций, страсть к растратам, шопоголизм.
Невоздержанность, неумеренность, не умерен в еде, подвержен различного рода зависимостям: алкогольной, наркотической, игровой, перееданию
Скрыты в эмоционально – впечатлительном плане, не говорят и не показывают внутреннего мира, всегда себе на уме, жалко поделится эмоциями, впечатлением, даже в мелочах, вносит дисгармонию в отношения, склонен к безответственности и застою.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Ограничение в деньгах, накопление, коллекционирование, нежелание проявлять эмоции.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Крушение привычных установок, незапланированные перемены, кризисные моменты, знак «барабашки», истинная причин проблемы не ясна, много сплетен, завистников, врагов среди приближенных, стагнация и заболоченность, замедление процессов, медленное разорение. 
Аспекты здоровья и самочувствия: трудно поставить диагноз. Давление, сосудистая система, тромбозы, отложения солей.
Совет - по возможности стараться быть щедрым, самостоятельно обеспечивать свою семью, передать потомкам доход.
</t>
  </si>
  <si>
    <t xml:space="preserve">Причинение вреда людям, используя ритуальную магию и оккультизм
В прошлой жизни Вы занимались оккультизмом (либо обратился к такому специалисту), не имея при этом соответствующего допуска от Высших сил.  В результате стали причиной бед другого человека: это может быть связано как с нанесением вреда здоровью, так и карьере/бизнесу, семейным отношениям и любому другому успеху. В этой жизни, в качестве искупления греха, Вам открыты оккультные способности, но не рекомендуется заниматься ритуальной эзотерикой. Следует понять, что борьба с врагами может осуществляться не только с помощью применения оккультных способностей (сила мысли также считается), и противостоять появляющимся искушениям и внутренней внезапной агрессии, вызывающей на мысленные проклятия и нанесение вреда человеку посредством применения физического или психологического воздействия.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Зависть, манипуляции другими людьми, провоцирование конфликтов, с доведением их до апогея, коварство, шантаж, умение и желание сталкивать лбами, оказывать психологическое воздействие, вносить «чертовщинку», внутренняя и внешняя агрессия, различные зависимости, приземленность. 
Повышенная эмоциональность на грани истерики. Властность, стремление подчинить их своей воле, чрезмерный контроль над близкими людьми. Умышленное усугубление ситуации. Неискренность, лживость, принадлежность к темным социальным и коррупционным структурам, одержимость, зацикленность, карьеризм, получение своего любыми способами. Игромания. 
Увлеченность черной магией, работа на свое Эго, нежелание развиваться духовно, и зацепка за материальное, склонность к вымыслам, перекручиванию ситуации, комфорт принципиален. Питается чувством страха.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Занятие магией, манипуляция людьми, оккультные практики.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Катализация всех «минусов» - негативных событий, все обостряется, усложняется и усугубляется: конфликты банкротство, убытки, разорение, увольнение с престижной работы или должности, потери материальных благ, ложная информация, тяжелые болезни, необратимые события, криминальные схемы. Воздействие порчи, сплетни и зависть в коллективе.
Аспекты здоровья и самочувствия: токсикация организма, дает болезни нервной системы, болезни головы, онкология, сильнейшие нарушения обмена веществ, венерические заболевания, инфекционные заболевания, зависимости, онкология.
Совет - не заниматься магией, покончить с вредными привычками, отбросить иллюзии, важно помогать другим людям обрести свой путь в жизни.
</t>
  </si>
  <si>
    <t xml:space="preserve">Умышленное лишение человека имущества, в том числе дома, разрушение судеб других людей.
В прошлой жизни вы послужили причиной лишения недвижимости другого человека.  Могли это сделать как преднамеренно, то есть разрушив дом или вынеся постановление о сносе, либо же косвенно: во время боевых действий. В этой жизни, в качестве искупления греха, Вам следует оказывать бескорыстную помощь людям в области недвижимости (строительство, дизайн, архитектура, купле-продажа). Задачей является возможность помочь людям в обретении или совершенствовании их недвижимости, если отсутствует возможность сделать это вышеуказанными способами, следует хотя бы заниматься починкой своего дома и дома своих близких, совмещая это с облагораживанием внутреннего пространства. Кармически обусловленным может стать внезапная потеря собственной недвижимости и становление бездомным человеком, дабы этого не допустить, рекомендуется выполнять вышеуказанные задачи. Кроме того, дабы не провоцировать обратку Кармы, не следует давать разрушительных советов (например, о смене работы) или становиться причиной любого разрушения у людей (например, распада семьи).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Меркантильность, зависть к чужому имуществу, зависть к достатку.
Склонность рубить с плеча, сжигать мосты, давать разрушительные советы, самодурство,  навязывание своей воли, отсутствие гибкости, не оставляет вариантов, нежелание входить в положение людей, навязывание советов разрушительного характера,  грубое вмешательство в жизни других людей,
Человеку проще начать новое, чем исправлять или дорабатывать старое, сам становиться причиной разлада, не готов решать конфликт, не умеет доводить дело до конца и позволяет прошлому влиять на себя. 
Вспышки агрессии, неконтролируемые эмоции, негативное отношение к жизни. Нежелание духовно развиваться. Узость взглядов, мышления, непризнание чужой точки зрения, конфликтность.
 Безбашенность, чрезмерный риск. Хаотичность в поступках и действиях. Хаос в жизни. Повышенный травматизм.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Интерес к благам других людей, вмешательство в судьбы других людей, зависть, чужое имущество, чувство собственности.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Проблемы с имуществом, утрата имущества, проблема с недвижимостью, неудачный ремонт.
Крах бизнеса, карьерного роста, потеря статуса, разрушение жизни, авторитета на корню. 
Аспекты здоровья и самочувствия: внезапные приступы болезней, серьезные травмы и ранения, операции, осложнения на голову, сердце и позвоночник, склонность к повышенному травматизму, утрата органов, инсульт, инфаркт, диабет, астма.
Совет - важно не претендовать на чужое имущество, помогать людям ее обрести.
</t>
  </si>
  <si>
    <t xml:space="preserve">Нарушение авторского права, предательство талантливого человека
В прошлой жизни Вы нарушали авторские права, преграждали дорогу талантливым людям, могли быть лжепророком. В этой жизни, в качестве искупления греха, Вам следует оказывать поддержку любым талантливым людям, вдохновлять их на реализацию талантов, оказывать им посильную поддержку в продвижении. Следует также учитывать, что Вам не рекомендуется красть результаты интеллектуального труда и даже цитаты указывать без авторства. Кармически обусловленным может стать проблема с реализацией собственного таланта, вероятны препятствия в их продвижении в виде людей или событий. Дабы исключить эти преграды, необходимо выполнять вышеуказанные задачи.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Неуважение к талантливым людям, обесценение чужого труда, проявление несамостоятельности, зависимости, капризности. Жизненная апатия, отсутствие представления о реальной картине мира. Оторванность от земного. Слабохарактерность и слабоволие. Неуверенность в себе, неверие в собственные силы и пессимизм.
Гордыня, возвышение   над   другими   за   свою   исключительность и «звездность». Пренебрежение к талантам других людей, зависть по отношению к их талантам и успехам, циничное отношение к таким чувствам как любовь, дружба, сочувствие. Неумение дружить.
Желание психологически издеваться, имеют у себя заблокированную креативность, неумение само выражаться через творчество. Неумение выразить свои истинные чувства. Медлительность.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Нарушение авторского права, принижение талантливых людей, кража чужой интеллектуальной собственности.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Воровство методик, знаний, идей, непризнание талантов, забвение, перекрытие всех творческих проектов, дорог и замыслов, отсутствие славы, известности. Идеи и труды могут быть не замечены. Отсутствие уважения к творческому труду. 
Предательство друзей, сотворцев, соавторов, падение с высоты, авиакатастрофы, травмы н высокой скорости, крах положения в обществе, отсутствие поддержки и продвижения в связи с предательством партнеров.
Аспекты здоровья и самочувствия: Неврозы, нарушение психики, бессонница, фобии, страхи. Тяжелые болезни бронхолегочной системы. 
Совет - помогать талантливым людям пробиться, защитить их права и изобретения.
</t>
  </si>
  <si>
    <t xml:space="preserve">Корысть в семейных отношениях, хитрость, мошенничество по отношению к близким людям.
В прошлой жизни Вы были мошенником, махинатором и обманщиком.  Часто искусно обманывали, предавали, изменяли. Сейчас Вам желательно контролировать свои мысли и фантазии, не поддаваться соблазнам азартной жизни, не изменять и не обманывать.   В качестве искупления греха, Вам не следует обманывать, мошенничать и сталкивать людей лбами. Кармически обусловленным может стать затуманенность разума в плане понимания махинаций со стороны других людей, невозможность распознать мошенника. Дабы исключить эти преграды, необходимо выполнять вышеуказанные задачи. В случае, если Вы проявили мошенничество в адрес своих близких, возникает вероятность проблем с зачатием и вынашиванием.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Манипуляция и мошенничество, игра на нервах, подвох фактов, домыслы, выдумки, иллюзия, самообманы, само накручивание, недоверие.
Подозрительность, формирование черных списков, неумение прощать, желание обмануть, искусить на измены и предательство, нежелание вести хозяйство, потакание слабостям.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Использование доверия близких для самореализации и статуса, самоутверждение за счет других людей, обман близкого человека, даже в мелочах, играют чужую роль.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Предательство близких людей, измены, их предают, конфликтные отношения с близкими родственниками, невозможность создания домашнего комфорта, все рушиться, ломается, портиться. 
Аспекты здоровья и самочувствия: Репродуктивная система, психика, мочеполовая система.
Совет – оберегать и защищать близких от предательств, не обманывать и не хитрить.
</t>
  </si>
  <si>
    <t xml:space="preserve">Злоупотребление властью, чинные преступления
В прошлой жизни Вы превысили должностные полномочия, совершили чинные преступления и подавляли своих подчинённых. В этой жизни, в качестве искупления греха, Вам не рекомендуется допускать чинных преступлений, находясь при должности, а также брать взятки. Кроме того, не следует нарушать свободную волю других людей и принуждать их к поступкам или мыслям, по мнению человека, являющихся для него выгодными, наоборот, следует вдохновлять окружающих (особенно коллег и подчинённых), помогать им расти профессионально, оставляя при этом свои заслуги в тени. Кармически обусловленными могут быть проблемы, связанные с государственными учреждениями, а также давлением вышестоящих органов. Дабы исключить эти преграды, необходимо выполнять вышеуказанные задачи.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Властность, грубость, агрессия, высокомерие, давление на других, навязывание своей воли, своих правил, желание доминировать, управлять, повышенный контроль.
Гордыня, не принимает ни каких замечаний, не принимает критику в свой адрес, ему важно доминировать либо страхом, либо жалостью - «Либо царь, либо коврик». Отсутствие собственного достоинства, зависимость от мнения других людей.
Неумение расслабляться, перевозбуждение, трудоголизм.
Синдром жертвы, обиженности, суетливость, вымышленный статус. Внутреннее самосожжение, т.е. не любовь к себе, самоедство. 
Негативное мышление, энергия, направленная не на благие, а на корыстные цели.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Предлагают высокие должности и искушают превысить полномочия, взяточничество, доминирование, управление, манипуляция, власть и статус любой ценой.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Порча деловой репутации, лишение власти, крах карьерного роста и позор, конфликтные взаимоотношения с чиновниками, подставы с их стороны, человека могут заставить отвечать за чужие грехи. Работа не приносит должного удовлетворения. 
Подставы со стороны начальства, государства, публичная расправа. 
В сфере личных отношений – разногласия, легкие конфликты по мелочам, трудности в общении между поколениями, конфликты отцов и детей, незначительные трудности в браке, высокомерность, ревность и придирчивость в отношениях.
Аспекты здоровья и самочувствия: сердечно-сосудистая система, кроветворная система, сильные воспалительные процессы с повышением температуры тела, неврозы.
Совет: Осуществлять покровительство, помогать людям в карьерном росте, любые слишком высокие должности могут принести подвох, лучше перепроверить документы.
</t>
  </si>
  <si>
    <t xml:space="preserve">Предательство традиций и интересов Рода, порча репутации
В прошлой жизни Вы предали или опозорили свой Род (например, отказались от родовых традиций или ремёсел). В этой жизни, в качестве искупления греха, Вам следует придерживаться родовых традиций, поддерживать гармоничные отношения с родственниками, восстанавливать генеалогическое древо, а при возможности, прославить свой Род или восстановить его ремёсла. Кармически обусловленными могут стать проблемы с зачатием и вынашиванием, а также трудности во взаимоотношениях с родственниками, изгнание из Рода. Дабы исключить эти преграды, необходимо выполнять вышеуказанные задачи.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Нежелание опираться на Род, следовать традициям, пренебрежительное отношение к Роду и противопоставление себя ему, осуждение родителей и родственников, держат обиды на своих родных. Суды с родственниками. 
Зацикленность на семье и близких, страх их смерти. Родовые конфликты. Наличие комплексов, связанные с семьей или происхождением, выдумывание других родителей и их статуса, нежелание и отказ помогать родственникам, критика в отношении близких, считают себя представителем новой эпохи. Намеренная порча репутации Рода, проявление категоричности, осуждения. Самоотречение. 
Либо наоборот безволие, отсутствие внутреннего стержня и с размытость по жизни, вынесение ссора из избы, использование своих способностей и своей силы в корыстных целях.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Любая форма предательства Рода, конфликтность в семье, предательство и подставы близких людей.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Крах семейного бизнеса, ремесла, отсутствие поддержки Рода, конфликты в Роду, предательства родственников, вынужденный переезд на Родину, отказ в наследстве, изгнание из Рода.
Кармические отношения, изоляция от друзей и родных, предательство со стороны тех, кому больше всего доверяли.
Аспекты здоровья и самочувствия: обострения хронических заболеваний вплоть до необходимости оперативного вмешательства, болезненные дети, генетические отклонения. Генетические заболевания, осложнения после болезней, хронические заболевания.
Совет - помогать всем членам Рода, оказывать им посильную финансовую поддержку.
</t>
  </si>
  <si>
    <t xml:space="preserve">Предательство традиций, целостности и устоев Родины
В прошлой жизни Вы совершили предательство своей Родины: выдали информацию государственной важности врагам, прославили чужбину (не указав Родины и национальной принадлежности), не пошли на защиту Родины во время боевых действий и т.д. Чаще всего люди с таким знаком совершают в течение жизни переезд за границу, ибо жизнь и реализация на Родине у них не складывается. Переезд не воспрещается, но обязательным условием должно стать сохранение родовых (от слова “Родина”) традиций, как, например, празднование национальных праздников, сохранение и передача национального языка, соблюдение национальных религиозных канонов и т.д. Кроме того, будет отработкой Кармы желание прославить каким бы то ни было образом (словом или делом, масштаб не важен, важно - намерение).  Вы можете победить в соревновании и озвучить свою национальную принадлежность, написать творческое произведение и прославить Родину, защитить облик своей страны в ходе диалога. Если носителем этого знака является мужчина, в случае боевых действий на Родине - он должен приехать на её защиту. Не рекомендуется впадать в зависимость от иностранных традиций, языков и трендов. Конечно, изучение языка, культуры и традиции других народов допускается, но не чтобы сменить родовые на них, а с целью передать эти знания своим соотечественникам для их развития.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Воинственность по отношению к людям, религиям, политики. 
Непризнание какой-либо идеологии, в том числе добра и зла. Участие в военных действиях, разжигание конфликтов. Агрессия против мира.
Замкнутость, закрытость от всего мира, отгороженность, уход в себя. Апатия, что не получается сразу глобальное и большое. 
Отрицание нового, неординарного, непризнание других народов и культур. Не чувствует себя частью этого мира, не готов интегрироваться в обществе, Желание объять необъятное. Не умение реально смотреть на жизнь. 
Человек не чувствует себя частью народа, провоцирует политические, национальные и идеологические конфликты, не придерживается никаких традиций, унижая достоинство и честь своей Родины находясь за границей, может представляться представителем другой национальности. 
Склонность к сектантству, подверженность общественному мнению. Страх выезда за границу и общения с иностранцами, неприятие всего заграничного, некорректный патриотизм, не разбирается и потому боится современной техники, старается не использовать передовые технологии.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Жизнь за границей, разговоры о политике, непризнание традиций и культуры любого народа, любая форма предательства Родины.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 проблема с заграницей, препятствия при поездке за границу, 
- ограниченность поступающей информации, 
 - конфликты с иностранцами, крах международного бизнеса, срыв международных сделок.
- сложности на Родине,  человеку нигде нет места, 
- сложности с документами, изгнание из общества, с работы, третьи лица вмешиваются в конфликт, не переваривают культуру.
Аспекты здоровья и самочувствия: Нарушение обмена веществ, гормональная система, иностранные вирусы и бактерии, чаще всего редкие, частые проблемы с желудком.
Совет: важно прославлять страну, защищать ее границы и помогать гражданам.
</t>
  </si>
  <si>
    <t xml:space="preserve">Аборты или принуждение к абортам, насилие над детьми, причинение вреда детям
В прошлой жизни Вы совершили тяжкое преступление против детей или сделали аборт, или склонили человека к этому. В этой жизни, в качестве искупления греха, Вам нельзя иметь никакого отношения к абортам. Категорически воспрещается советовать сделать аборт окружающим людям. В противном случае, если допущен аборт, у женщин возникает большой риск невозможности забеременеть или выносить ребёнка. Рекомендуется много времени уделять маленьким детям (до 7 лет особенно), проявлять о них заботу, наделять их своей любовью, а также родить как можно больше собственных детей или взять на попечение чужих.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 Человек играет либо роль наивного ребенка, не готов брать ответственность за свои поступки на себя, проявляет капризность либо наоборот проявляет агрессию, злость и склонность к истерикам.
- Отсутствие внутренней свободы, рамки, ограничения, нежелание ни за что отвечать, брать ответственность. 
- Склонность к распущенной, легкой и разгульной жизни, зацепки за материальное. Любые зависимости. 
- Узость мышления, отсутствие духовности, радости жизни, легкости, вдохновения. 
 - Выпрашивают подарки, без причины обижаются, не хотят заслуживать уважение и любовь, шантажируют слезами, нытье, мнительность, истерия, требуют повышенного внимания.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Аборты, нежелание брать ответственность, капризность, манипуляция родителями и теми людьми, которые дорожат   вашими отношениями.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Множество трудно решаемых проблем, завал проблем, чтобы не решили это порождает еще больше их увеличение, они как как рассыпанный бисер, подводные камни, непреодолимые препятствия.
Конфликты с детьми, утрата психологического контакта с ребенком, неуважение и не почитание с их стороны, вплоть до игнорирования, предательство детей.
Аспекты здоровья и самочувствия: болезни детей, комплексные заболевания, травмы с психикой, проблемы с передвижением, легкие ранения, травмы и заболевания, сложности зачатия, проблемы с рождением детей, осложнения во время родов, инвалидность. 
Совет - помогать любым детям, быть открытым и дружелюбным, убрать все взрослые эмоции: гнев, злость, агрессия. В делах быть более внимательным и сосредоточенным, не распыляться по мелочам, необходимо концентрация на определенной задаче и цели. Лучше отложить решение вопросов на более поздний срок.
Аборты или принуждение к абортам, насилие над детьми, причинение вреда детям
В прошлой жизни Вы совершили тяжкое преступление против детей или сделали аборт, или склонили человека к этому. В этой жизни, в качестве искупления греха, Вам нельзя иметь никакого отношения к абортам. Категорически воспрещается советовать сделать аборт окружающим людям. В противном случае, если допущен аборт, у женщин возникает большой риск невозможности забеременеть или выносить ребёнка. Рекомендуется много времени уделять маленьким детям (до 7 лет особенно), проявлять о них заботу, наделять их своей любовью, а также родить как можно больше собственных детей или взять на попечение чужих.
Чтоб не войти в следующий слой Кармы и не запустился отрицательный сценарий необходимо не допускать кармических черт характера соответствующий этой ошибки, это первостепенное условие.
Кармические черты характера, которые нельзя допускать:
- Человек играет либо роль наивного ребенка, не готов брать ответственность за свои поступки на себя, проявляет капризность либо наоборот проявляет агрессию, злость и склонность к истерикам.
- Отсутствие внутренней свободы, рамки, ограничения, нежелание ни за что отвечать, брать ответственность. 
- Склонность к распущенной, легкой и разгульной жизни, зацепки за материальное. Любые зависимости. 
- Узость мышления, отсутствие духовности, радости жизни, легкости, вдохновения. 
 - Выпрашивают подарки, без причины обижаются, не хотят заслуживать уважение и любовь, шантажируют слезами, нытье, мнительность, истерия, требуют повышенного внимания.
Допуская вышеописанные черты характера в повседневной жизни, человек спускается в следующий слой Кармы, где его провоцируют совершить и сделать определенные действия, поступки, шаги и войти в слой Искушений.
Искушения, чего делать нельзя:
Аборты, нежелание брать ответственность, капризность, манипуляция родителями и теми людьми, которые дорожат   вашими отношениями.
Поддавшись искушению и совершив определенные негативные действия, шаги и поступки, к человеку прилетает обратка в виде совершенных поступков на событийном плане.
Обратка и событийный план:
Множество трудно решаемых проблем, завал проблем, чтобы не решили это порождает еще больше их увеличение, они как как рассыпанный бисер, подводные камни, непреодолимые препятствия.
Конфликты с детьми, утрата психологического контакта с ребенком, неуважение и не почитание с их стороны, вплоть до игнорирования, предательство детей.
Аспекты здоровья и самочувствия: болезни детей, комплексные заболевания, травмы с психикой, проблемы с передвижением, легкие ранения, травмы и заболевания, сложности зачатия, проблемы с рождением детей, осложнения во время родов, инвалидность. 
Совет - помогать любым детям, быть открытым и дружелюбным, убрать все взрослые эмоции: гнев, злость, агрессия. В делах быть более внимательным и сосредоточенным, не распыляться по мелочам, необходимо концентрация на определенной задаче и цели. Лучше отложить решение вопросов на более поздний срок.
</t>
  </si>
  <si>
    <t>Январь - в роду нарушены братские узы, брат пошел на брата, преступления против брата.
Человек, рожденный в этом месяце пришел отработать Карму своего брата или сестры и являются поручителями за них. Он должен помочь ему/ей почистить Карму, приобретенную в этом воплощении, отрабатывая 50% их Кармы с момента своего рождения или рождения брата/сестры. Как правило, братом/сестрой уже были нарушены некие законы Мироздания или ему предстоят тяжёлые жизненные события, в которых он может допустить ошибку. Ваша задача - мудро наставлять его/её (но не принуждать), а потому необходимо тесно общаться со своими подопечными. Если Ваш(а) брат/сестра ведёт некорректный образ жизни, скорее всего Вы будете переживать 50% аналогичных событий, но уже в свой адрес, чтобы почистить их Карму. Конфликты с братьями или сестрами недопустимы. Если 2 ребенка в январе, то нужен третий. Внимание родителей должно быть приковано к январскому ребенку, так как он склонен нарушать законы кармы.</t>
  </si>
  <si>
    <t>Рождённые в феврале, пришли к своим бабушкам и дедушкам. Их задача: забота о старшем поколении и здоровье своих близких.</t>
  </si>
  <si>
    <t>Человек, рожденный в марте, показывает, что в Роду нарушены воспитательные функции – чрезмерная опека, не дают самостоятельности. Рождённые в марте, пришли к своим мамам. В прошлом воплощении они не были самостоятельными, во многом их судьба зависела от матери. Поэтому, в нынешнем воплощении их задача научиться самостоятельности, взять самое лучшее от воспитания. Чем раньше они начнут самостоятельную жизнь, научаться самостоятельно принимать решения, не опираясь на родителей — тем лучше для них. Задача заключается – научить родителей уважать самих детей и дать им возможность самим принимать решения.</t>
  </si>
  <si>
    <t>Рождённые в апреле, являются поручителями за своих отцов, отрабатывая 50% их кармы с момента своего рождения. Как правило, отцом уже были нарушены некие законы мироздания или ему предстоят тяжёлые жизненные события, в которых он может допустить ошибку. Ваша задача: мудро наставлять отца (но не принуждать), а потому необходимо тесно общаться со своим подопечным. Если Ваш отец ведёт некорректный образ жизни, скорее всего Вы будете переживать 50% аналогичных событий, но уже в свой адрес, чтобы почистить его карму.</t>
  </si>
  <si>
    <t>Рождённые в мае, являются поручителями за своих матерей, отрабатывая 50% их кармы с момента своего рождения. Как правило, матерью уже были нарушены некие законы мироздания или ей предстоят тяжёлые жизненные события, в которых она может допустить ошибку. Ваша задача: мудро наставлять мать (но не принуждать), а потому необходимо тесно общаться со своей подопечной. Если Ваша мать ведёт некорректный образ жизни, скорее всего Вы будете переживать 50% аналогичных событий, но уже в свой адрес, чтобы почистить её карму.</t>
  </si>
  <si>
    <t>Июнь — такой человек пришел в Род, чтобы научиться правильно выстраивать семейные отношения и показатель что в этом Роду нарушены добропорядочные отношения, измены или нарушение закона Рита (межрасовые браки). Как это делать — ему покажут на примере жизни в семье. Например, в семье недостаточно благосклонно относятся к ребенку, и он думает «Я никогда не буду себя вести как родители» или наоборот. Средней грани не бывает. Зачастую, между родителями этого человека сложные отношения, измены и предательства. Тогда задача человека состоит в том, чтобы примирить их, не допускать обиды и агрессии, со своей стороны. Ему нужно принять родителей такими, какие они есть. И сам должен стать примером добропорядочных семьянинов и построить крепкую семью. Разводы не допустимы.</t>
  </si>
  <si>
    <t>Рождённые в июле, пришли в Род, чтобы перевезти его на новое место жительства или расширить его горизонты, получив образование за границей или в других городах Родины. Рекомендованы частые путешествия.</t>
  </si>
  <si>
    <t>Рождённые в августе, пришли, чтобы скрепить союз родителей, который, как правило, не является прочным. Задачи – решить конфликт Рода, всех примерить и объединить. Чаще всего происходят разводы у родителей, если это произошло - человеку необходимо создать у них благоприятное мнение друг о друге, заверив, что смысл их встречи в нём самом, должен оставить отношения родителей на стадии дружбы. Если родители вместе, но живут конфликтно - человек должен стать "лакмусовой бумажкой", сглаживающей острые углы. Иначе его личная жизнь не сложиться, если родители конфликтны, главное сохранить уважение между родителями.</t>
  </si>
  <si>
    <t>Показатель того что в Роду утрачен талант или секрет мастерства. Его необходимо восстановить и приумножить. Рождённые в сентябре, пришли, чтобы прославить свой Род через талант. Как правило, это самые талантливые люди, которым необходимо одиночество для проявления своего творческого начала (искусство/наука/эзотерика), которое они приобретают от предков. Человек должен либо раскрыть свои таланты, либо найти и проявить что-то, сделанное предком.
Рекомендуется публичная демонстрация своих творений с целью прославления Рода. Кроме того, рождённые в сентябре обладают самым сильным астральным телом, которое способствует астральным путешествиям и дарует человеку сильнейшую интуицию, а при развитии - и экстрасенсорный талант</t>
  </si>
  <si>
    <t>Рождённые в октябре, пришли, чтобы приумножить капиталы своего Рода. Это показатель того, что в Роду нарушены финансовые законы. Род встал в стадию разорения. Рекомендуется интенсивное зарабатывание денег с целью улучшения условий жизни своих родственников, Вы должны приумножить и сохранить капитал Рода.
Часто таким людям достаётся в наследство ценное семейное имущество, которое им не следует продавать, если это совершается не с целью купить улучшенный объект семейного пользования. Человеку с таким знаком нельзя брать деньги у родителей и уж тем более воровать. Чем больше денег он возьмет — тем меньше он сможет заработать.</t>
  </si>
  <si>
    <t>Рождённые в ноябре, пришли, чтобы приумножить профессиональный статус своего Рода. Это показатель того, что нужно повысить мастерство, знание, опыт или статут членов Рода, то есть привнести в ментальный эгрегор Рода новые навыки и знания, умение побеждать, чем сложнее, тем интереснее. О Вас должны сказать: «Ты делаешь лучше, чем твой папа/мама/бабушка/дедушка и т.д.». Рекомендуется интенсивное интеллектуальное развитие и продвижение по карьерной лестнице с целью достигнуть большего статуса, нежели предыдущее поколение (родители).</t>
  </si>
  <si>
    <t>Декабрь
— показатель того, что Род разобщен и нужно научиться слышать друг друга. Потеряно уважение, взаимовыручка и желание помогать. Рождённые в декабре, пришли, чтобы приобретать собственный опыт, опираясь на знания и умения предков. Основная задача такого человека — научиться понимать хотя бы самого себя, опираться на самого себя и слышать своих родителей. Их самой главной ошибкой является нежелание опираться на советы близких, проявляя упрямство и гордыню, от этого происходят многие жизненные неурядицы. В таком случае рекомендуется отправляться за советом к своим близким людям, научиться прислушиваться к их советам, уметь принимать помощь от них и как следствие уметь просить об этой помощи. Рекомендован публичный образ жизни для приумножения жизненного опыта на примере других людей, 12 знак — это знак психолога и учителя.</t>
  </si>
  <si>
    <t>Дуров</t>
  </si>
  <si>
    <t>Дурова</t>
  </si>
  <si>
    <t>Павел</t>
  </si>
  <si>
    <t>Мезенцев</t>
  </si>
  <si>
    <t>Олеся</t>
  </si>
  <si>
    <t>Мезенцева</t>
  </si>
  <si>
    <t>Евгеньевна</t>
  </si>
  <si>
    <t xml:space="preserve">Мезенцев </t>
  </si>
  <si>
    <t>лла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</si>
</sst>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64" formatCode="[$-FC19]dd\ mmmm\ yyyy\ \г\.;@"/>
    <numFmt numFmtId="165" formatCode="[$-419]mmmm;@"/>
    <numFmt numFmtId="166" formatCode="&quot;Да&quot;_)_%;&quot;ERROR&quot;_)_%;&quot;Нет&quot;_)_%;&quot;ERROR&quot;_)_%"/>
    <numFmt numFmtId="167" formatCode="m/d;@"/>
    <numFmt numFmtId="168" formatCode="[$-FC19]dd\ mmmm;@"/>
    <numFmt numFmtId="169" formatCode="yyyy"/>
    <numFmt numFmtId="170" formatCode="&quot;Мужчина&quot;_)_%;&quot;Женщина&quot;_)_%;&quot;Одинаково&quot;_)_%;&quot;Женщина&quot;_)_%"/>
    <numFmt numFmtId="171" formatCode="0.0000000"/>
    <numFmt numFmtId="172" formatCode="0.0%"/>
  </numFmts>
  <fonts count="50" x14ac:knownFonts="1">
    <font>
      <sz val="11"/>
      <color theme="1"/>
      <name val="Calibri"/>
      <family val="2"/>
      <scheme val="minor"/>
    </font>
    <font>
      <sz val="11"/>
      <color rgb="FF006100"/>
      <name val="Calibri"/>
      <family val="2"/>
      <scheme val="minor"/>
    </font>
    <font>
      <sz val="24"/>
      <color theme="1"/>
      <name val="Times New Roman"/>
      <family val="1"/>
    </font>
    <font>
      <sz val="11"/>
      <color theme="1"/>
      <name val="Times New Roman"/>
      <family val="1"/>
    </font>
    <font>
      <vertAlign val="subscript"/>
      <sz val="11"/>
      <color theme="1"/>
      <name val="Calibri"/>
      <family val="2"/>
      <scheme val="minor"/>
    </font>
    <font>
      <vertAlign val="subscript"/>
      <sz val="11"/>
      <color theme="1"/>
      <name val="Times New Roman"/>
      <family val="1"/>
    </font>
    <font>
      <sz val="18"/>
      <color theme="1"/>
      <name val="Times New Roman"/>
      <family val="1"/>
    </font>
    <font>
      <sz val="11"/>
      <name val="Calibri"/>
      <family val="2"/>
      <scheme val="minor"/>
    </font>
    <font>
      <b/>
      <sz val="14"/>
      <color theme="1"/>
      <name val="Times New Roman"/>
      <family val="1"/>
    </font>
    <font>
      <b/>
      <sz val="11"/>
      <color theme="1"/>
      <name val="Calibri"/>
      <family val="2"/>
      <scheme val="minor"/>
    </font>
    <font>
      <b/>
      <vertAlign val="subscript"/>
      <sz val="11"/>
      <color theme="1"/>
      <name val="Calibri"/>
      <family val="2"/>
      <scheme val="minor"/>
    </font>
    <font>
      <sz val="9"/>
      <color indexed="81"/>
      <name val="Tahoma"/>
      <family val="2"/>
    </font>
    <font>
      <sz val="10"/>
      <color theme="1"/>
      <name val="Times New Roman"/>
      <family val="1"/>
    </font>
    <font>
      <b/>
      <sz val="18"/>
      <color theme="1"/>
      <name val="Times New Roman"/>
      <family val="1"/>
    </font>
    <font>
      <b/>
      <sz val="18"/>
      <color theme="1"/>
      <name val="Calibri"/>
      <family val="2"/>
    </font>
    <font>
      <u/>
      <sz val="11"/>
      <color theme="10"/>
      <name val="Calibri"/>
      <family val="2"/>
      <scheme val="minor"/>
    </font>
    <font>
      <sz val="11"/>
      <color theme="1"/>
      <name val="Calibri"/>
      <family val="2"/>
      <scheme val="minor"/>
    </font>
    <font>
      <b/>
      <sz val="10"/>
      <color theme="1"/>
      <name val="Calibri"/>
      <family val="2"/>
      <charset val="204"/>
      <scheme val="minor"/>
    </font>
    <font>
      <b/>
      <sz val="11"/>
      <color rgb="FFFF0000"/>
      <name val="Calibri"/>
      <family val="2"/>
      <scheme val="minor"/>
    </font>
    <font>
      <vertAlign val="superscript"/>
      <sz val="11"/>
      <color theme="1"/>
      <name val="Calibri"/>
      <family val="2"/>
      <scheme val="minor"/>
    </font>
    <font>
      <b/>
      <sz val="11"/>
      <color theme="1"/>
      <name val="Times New Roman"/>
      <family val="1"/>
    </font>
    <font>
      <b/>
      <sz val="12"/>
      <color theme="1"/>
      <name val="Times New Roman"/>
      <family val="1"/>
    </font>
    <font>
      <sz val="14"/>
      <color theme="1"/>
      <name val="Times New Roman"/>
      <family val="1"/>
    </font>
    <font>
      <b/>
      <sz val="11"/>
      <color rgb="FF006100"/>
      <name val="Calibri"/>
      <family val="2"/>
      <scheme val="minor"/>
    </font>
    <font>
      <b/>
      <sz val="11"/>
      <color theme="0"/>
      <name val="Calibri"/>
      <family val="2"/>
      <scheme val="minor"/>
    </font>
    <font>
      <i/>
      <sz val="11"/>
      <color theme="1"/>
      <name val="Times New Roman"/>
      <family val="1"/>
    </font>
    <font>
      <sz val="11"/>
      <color theme="0"/>
      <name val="Calibri"/>
      <family val="2"/>
      <scheme val="minor"/>
    </font>
    <font>
      <b/>
      <sz val="16"/>
      <color theme="1"/>
      <name val="Calibri"/>
      <family val="2"/>
      <scheme val="minor"/>
    </font>
    <font>
      <b/>
      <sz val="9"/>
      <color indexed="81"/>
      <name val="Tahoma"/>
      <family val="2"/>
    </font>
    <font>
      <sz val="8"/>
      <color rgb="FF3366FF"/>
      <name val="Calibri"/>
      <family val="2"/>
      <scheme val="minor"/>
    </font>
    <font>
      <b/>
      <sz val="11"/>
      <color theme="1"/>
      <name val="Calibri"/>
      <family val="2"/>
      <charset val="204"/>
      <scheme val="minor"/>
    </font>
    <font>
      <b/>
      <sz val="18"/>
      <color theme="1"/>
      <name val="Calibri"/>
      <family val="2"/>
      <charset val="204"/>
      <scheme val="minor"/>
    </font>
    <font>
      <sz val="11"/>
      <color theme="1"/>
      <name val="Calibri"/>
      <family val="2"/>
      <charset val="204"/>
      <scheme val="minor"/>
    </font>
    <font>
      <sz val="20"/>
      <color theme="1"/>
      <name val="Times New Roman"/>
      <family val="1"/>
      <charset val="204"/>
    </font>
    <font>
      <sz val="16"/>
      <color theme="1"/>
      <name val="Times New Roman"/>
      <family val="1"/>
      <charset val="204"/>
    </font>
    <font>
      <b/>
      <sz val="11"/>
      <color rgb="FF006100"/>
      <name val="Calibri"/>
      <family val="2"/>
      <charset val="204"/>
      <scheme val="minor"/>
    </font>
    <font>
      <sz val="12"/>
      <color theme="1"/>
      <name val="Times New Roman"/>
      <family val="1"/>
      <charset val="204"/>
    </font>
    <font>
      <b/>
      <sz val="12"/>
      <color theme="1"/>
      <name val="Times New Roman"/>
      <family val="1"/>
      <charset val="204"/>
    </font>
    <font>
      <b/>
      <sz val="14"/>
      <color rgb="FF000000"/>
      <name val="Times New Roman"/>
      <family val="1"/>
      <charset val="204"/>
    </font>
    <font>
      <b/>
      <sz val="14"/>
      <color theme="1"/>
      <name val="Times New Roman"/>
      <family val="1"/>
      <charset val="204"/>
    </font>
    <font>
      <b/>
      <sz val="14"/>
      <color theme="1"/>
      <name val="Calibri"/>
      <family val="2"/>
      <scheme val="minor"/>
    </font>
    <font>
      <b/>
      <sz val="10"/>
      <color theme="1"/>
      <name val="Times New Roman"/>
      <family val="1"/>
      <charset val="204"/>
    </font>
    <font>
      <sz val="9"/>
      <color theme="1"/>
      <name val="Times New Roman"/>
      <family val="1"/>
      <charset val="204"/>
    </font>
    <font>
      <sz val="9"/>
      <color theme="1"/>
      <name val="Calibri"/>
      <family val="2"/>
      <scheme val="minor"/>
    </font>
    <font>
      <sz val="9"/>
      <color rgb="FF000000"/>
      <name val="Times New Roman"/>
      <family val="1"/>
      <charset val="204"/>
    </font>
    <font>
      <b/>
      <sz val="10"/>
      <color rgb="FF000000"/>
      <name val="Times New Roman"/>
      <family val="1"/>
      <charset val="204"/>
    </font>
    <font>
      <sz val="9"/>
      <color theme="1"/>
      <name val="Arial"/>
      <family val="2"/>
      <charset val="204"/>
    </font>
    <font>
      <b/>
      <sz val="9"/>
      <color theme="1"/>
      <name val="Times New Roman"/>
      <family val="1"/>
      <charset val="204"/>
    </font>
    <font>
      <sz val="9"/>
      <color theme="1"/>
      <name val="Calibri"/>
      <family val="2"/>
      <charset val="204"/>
      <scheme val="minor"/>
    </font>
    <font>
      <sz val="11"/>
      <color theme="1"/>
      <name val="Times New Roman"/>
      <family val="1"/>
      <charset val="204"/>
    </font>
  </fonts>
  <fills count="38">
    <fill>
      <patternFill patternType="none"/>
    </fill>
    <fill>
      <patternFill patternType="gray125"/>
    </fill>
    <fill>
      <patternFill patternType="solid">
        <fgColor rgb="FFC6EFCE"/>
      </patternFill>
    </fill>
    <fill>
      <patternFill patternType="solid">
        <fgColor theme="0" tint="-4.9989318521683403E-2"/>
        <bgColor indexed="64"/>
      </patternFill>
    </fill>
    <fill>
      <patternFill patternType="solid">
        <fgColor rgb="FFFFFF0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F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A5A5A5"/>
      </patternFill>
    </fill>
    <fill>
      <patternFill patternType="solid">
        <fgColor rgb="FFFF9999"/>
        <bgColor indexed="64"/>
      </patternFill>
    </fill>
    <fill>
      <patternFill patternType="solid">
        <fgColor rgb="FFFFCCCC"/>
        <bgColor indexed="64"/>
      </patternFill>
    </fill>
    <fill>
      <patternFill patternType="solid">
        <fgColor theme="0"/>
        <bgColor indexed="64"/>
      </patternFill>
    </fill>
    <fill>
      <patternFill patternType="solid">
        <fgColor rgb="FFCC66FF"/>
        <bgColor indexed="64"/>
      </patternFill>
    </fill>
    <fill>
      <patternFill patternType="solid">
        <fgColor rgb="FF3366FF"/>
        <bgColor indexed="64"/>
      </patternFill>
    </fill>
    <fill>
      <patternFill patternType="solid">
        <fgColor rgb="FF99CCFF"/>
        <bgColor indexed="64"/>
      </patternFill>
    </fill>
    <fill>
      <patternFill patternType="solid">
        <fgColor rgb="FF33CC33"/>
        <bgColor indexed="64"/>
      </patternFill>
    </fill>
    <fill>
      <patternFill patternType="solid">
        <fgColor rgb="FFFFC000"/>
        <bgColor indexed="64"/>
      </patternFill>
    </fill>
    <fill>
      <patternFill patternType="solid">
        <fgColor rgb="FFFF0000"/>
        <bgColor indexed="64"/>
      </patternFill>
    </fill>
    <fill>
      <patternFill patternType="solid">
        <fgColor theme="0" tint="-0.34998626667073579"/>
        <bgColor indexed="64"/>
      </patternFill>
    </fill>
    <fill>
      <patternFill patternType="solid">
        <fgColor rgb="FF92D050"/>
        <bgColor indexed="64"/>
      </patternFill>
    </fill>
    <fill>
      <patternFill patternType="solid">
        <fgColor rgb="FFCC99FF"/>
        <bgColor indexed="64"/>
      </patternFill>
    </fill>
    <fill>
      <patternFill patternType="solid">
        <fgColor rgb="FFFF5050"/>
        <bgColor indexed="64"/>
      </patternFill>
    </fill>
    <fill>
      <patternFill patternType="solid">
        <fgColor rgb="FFFF99FF"/>
        <bgColor indexed="64"/>
      </patternFill>
    </fill>
  </fills>
  <borders count="89">
    <border>
      <left/>
      <right/>
      <top/>
      <bottom/>
      <diagonal/>
    </border>
    <border>
      <left/>
      <right/>
      <top style="mediumDashed">
        <color auto="1"/>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right/>
      <top style="medium">
        <color auto="1"/>
      </top>
      <bottom/>
      <diagonal/>
    </border>
    <border>
      <left style="medium">
        <color auto="1"/>
      </left>
      <right/>
      <top/>
      <bottom/>
      <diagonal/>
    </border>
    <border>
      <left style="medium">
        <color auto="1"/>
      </left>
      <right/>
      <top style="medium">
        <color auto="1"/>
      </top>
      <bottom/>
      <diagonal/>
    </border>
    <border>
      <left style="medium">
        <color auto="1"/>
      </left>
      <right/>
      <top/>
      <bottom style="medium">
        <color auto="1"/>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style="thin">
        <color auto="1"/>
      </right>
      <top/>
      <bottom style="thin">
        <color auto="1"/>
      </bottom>
      <diagonal/>
    </border>
    <border>
      <left/>
      <right style="medium">
        <color auto="1"/>
      </right>
      <top style="medium">
        <color auto="1"/>
      </top>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medium">
        <color auto="1"/>
      </right>
      <top/>
      <bottom style="thin">
        <color auto="1"/>
      </bottom>
      <diagonal/>
    </border>
    <border>
      <left style="thin">
        <color auto="1"/>
      </left>
      <right/>
      <top style="thin">
        <color auto="1"/>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thin">
        <color auto="1"/>
      </top>
      <bottom/>
      <diagonal/>
    </border>
    <border>
      <left style="thin">
        <color auto="1"/>
      </left>
      <right/>
      <top/>
      <bottom style="thin">
        <color auto="1"/>
      </bottom>
      <diagonal/>
    </border>
    <border>
      <left style="thin">
        <color auto="1"/>
      </left>
      <right style="medium">
        <color auto="1"/>
      </right>
      <top/>
      <bottom style="thin">
        <color auto="1"/>
      </bottom>
      <diagonal/>
    </border>
    <border>
      <left style="medium">
        <color auto="1"/>
      </left>
      <right style="thin">
        <color auto="1"/>
      </right>
      <top/>
      <bottom style="medium">
        <color auto="1"/>
      </bottom>
      <diagonal/>
    </border>
    <border>
      <left/>
      <right/>
      <top/>
      <bottom style="medium">
        <color auto="1"/>
      </bottom>
      <diagonal/>
    </border>
    <border>
      <left style="thin">
        <color auto="1"/>
      </left>
      <right style="medium">
        <color auto="1"/>
      </right>
      <top/>
      <bottom style="medium">
        <color auto="1"/>
      </bottom>
      <diagonal/>
    </border>
    <border>
      <left style="mediumDashed">
        <color auto="1"/>
      </left>
      <right style="thin">
        <color auto="1"/>
      </right>
      <top style="mediumDashed">
        <color auto="1"/>
      </top>
      <bottom/>
      <diagonal/>
    </border>
    <border>
      <left style="thin">
        <color auto="1"/>
      </left>
      <right style="thin">
        <color auto="1"/>
      </right>
      <top style="mediumDashed">
        <color auto="1"/>
      </top>
      <bottom/>
      <diagonal/>
    </border>
    <border>
      <left style="thin">
        <color auto="1"/>
      </left>
      <right style="mediumDashed">
        <color auto="1"/>
      </right>
      <top style="mediumDashed">
        <color auto="1"/>
      </top>
      <bottom/>
      <diagonal/>
    </border>
    <border>
      <left style="mediumDashed">
        <color auto="1"/>
      </left>
      <right style="thin">
        <color auto="1"/>
      </right>
      <top/>
      <bottom style="thin">
        <color auto="1"/>
      </bottom>
      <diagonal/>
    </border>
    <border>
      <left style="thin">
        <color auto="1"/>
      </left>
      <right style="mediumDashed">
        <color auto="1"/>
      </right>
      <top/>
      <bottom style="thin">
        <color auto="1"/>
      </bottom>
      <diagonal/>
    </border>
    <border>
      <left style="mediumDashed">
        <color auto="1"/>
      </left>
      <right style="thin">
        <color auto="1"/>
      </right>
      <top style="thin">
        <color auto="1"/>
      </top>
      <bottom/>
      <diagonal/>
    </border>
    <border>
      <left style="thin">
        <color auto="1"/>
      </left>
      <right style="mediumDashed">
        <color auto="1"/>
      </right>
      <top style="thin">
        <color auto="1"/>
      </top>
      <bottom/>
      <diagonal/>
    </border>
    <border>
      <left style="mediumDashed">
        <color auto="1"/>
      </left>
      <right style="thin">
        <color auto="1"/>
      </right>
      <top/>
      <bottom style="mediumDashed">
        <color auto="1"/>
      </bottom>
      <diagonal/>
    </border>
    <border>
      <left/>
      <right/>
      <top/>
      <bottom style="mediumDashed">
        <color auto="1"/>
      </bottom>
      <diagonal/>
    </border>
    <border>
      <left style="thin">
        <color auto="1"/>
      </left>
      <right style="mediumDashed">
        <color auto="1"/>
      </right>
      <top/>
      <bottom style="mediumDashed">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style="medium">
        <color auto="1"/>
      </right>
      <top/>
      <bottom/>
      <diagonal/>
    </border>
    <border>
      <left style="medium">
        <color auto="1"/>
      </left>
      <right style="medium">
        <color auto="1"/>
      </right>
      <top style="medium">
        <color auto="1"/>
      </top>
      <bottom style="medium">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right/>
      <top style="medium">
        <color auto="1"/>
      </top>
      <bottom style="thin">
        <color auto="1"/>
      </bottom>
      <diagonal/>
    </border>
    <border>
      <left/>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style="thin">
        <color auto="1"/>
      </top>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thin">
        <color auto="1"/>
      </left>
      <right/>
      <top style="medium">
        <color auto="1"/>
      </top>
      <bottom style="thin">
        <color auto="1"/>
      </bottom>
      <diagonal/>
    </border>
    <border>
      <left/>
      <right style="thin">
        <color auto="1"/>
      </right>
      <top/>
      <bottom style="medium">
        <color auto="1"/>
      </bottom>
      <diagonal/>
    </border>
    <border>
      <left/>
      <right style="thin">
        <color auto="1"/>
      </right>
      <top/>
      <bottom/>
      <diagonal/>
    </border>
    <border>
      <left/>
      <right/>
      <top style="thin">
        <color auto="1"/>
      </top>
      <bottom/>
      <diagonal/>
    </border>
    <border>
      <left style="thin">
        <color auto="1"/>
      </left>
      <right/>
      <top/>
      <bottom/>
      <diagonal/>
    </border>
    <border>
      <left style="double">
        <color rgb="FF3F3F3F"/>
      </left>
      <right style="double">
        <color rgb="FF3F3F3F"/>
      </right>
      <top style="double">
        <color rgb="FF3F3F3F"/>
      </top>
      <bottom style="double">
        <color rgb="FF3F3F3F"/>
      </bottom>
      <diagonal/>
    </border>
    <border>
      <left style="thin">
        <color auto="1"/>
      </left>
      <right/>
      <top style="medium">
        <color auto="1"/>
      </top>
      <bottom/>
      <diagonal/>
    </border>
    <border>
      <left style="medium">
        <color auto="1"/>
      </left>
      <right style="thin">
        <color auto="1"/>
      </right>
      <top/>
      <bottom/>
      <diagonal/>
    </border>
    <border>
      <left style="thin">
        <color auto="1"/>
      </left>
      <right style="medium">
        <color auto="1"/>
      </right>
      <top/>
      <bottom/>
      <diagonal/>
    </border>
    <border>
      <left/>
      <right style="medium">
        <color auto="1"/>
      </right>
      <top style="thin">
        <color auto="1"/>
      </top>
      <bottom/>
      <diagonal/>
    </border>
    <border>
      <left style="thin">
        <color auto="1"/>
      </left>
      <right style="thin">
        <color auto="1"/>
      </right>
      <top/>
      <bottom style="medium">
        <color auto="1"/>
      </bottom>
      <diagonal/>
    </border>
    <border>
      <left style="thin">
        <color auto="1"/>
      </left>
      <right/>
      <top/>
      <bottom style="medium">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thin">
        <color auto="1"/>
      </right>
      <top style="medium">
        <color auto="1"/>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medium">
        <color auto="1"/>
      </right>
      <top style="medium">
        <color auto="1"/>
      </top>
      <bottom/>
      <diagonal/>
    </border>
  </borders>
  <cellStyleXfs count="5">
    <xf numFmtId="0" fontId="0" fillId="0" borderId="0"/>
    <xf numFmtId="0" fontId="1" fillId="2" borderId="0" applyNumberFormat="0" applyBorder="0" applyAlignment="0" applyProtection="0"/>
    <xf numFmtId="0" fontId="15" fillId="0" borderId="0" applyNumberFormat="0" applyFill="0" applyBorder="0" applyAlignment="0" applyProtection="0"/>
    <xf numFmtId="9" fontId="16" fillId="0" borderId="0" applyFont="0" applyFill="0" applyBorder="0" applyAlignment="0" applyProtection="0"/>
    <xf numFmtId="0" fontId="24" fillId="23" borderId="74" applyNumberFormat="0" applyAlignment="0" applyProtection="0"/>
  </cellStyleXfs>
  <cellXfs count="815">
    <xf numFmtId="0" fontId="0" fillId="0" borderId="0" xfId="0"/>
    <xf numFmtId="0" fontId="3" fillId="0" borderId="0" xfId="0" applyFont="1"/>
    <xf numFmtId="0" fontId="3" fillId="0" borderId="1" xfId="0" applyFont="1" applyBorder="1"/>
    <xf numFmtId="0" fontId="3" fillId="0" borderId="0" xfId="0" applyFont="1" applyAlignment="1">
      <alignment horizontal="left"/>
    </xf>
    <xf numFmtId="0" fontId="3" fillId="3" borderId="2"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5" xfId="0" applyFont="1" applyFill="1" applyBorder="1" applyAlignment="1">
      <alignment horizontal="center" vertical="center"/>
    </xf>
    <xf numFmtId="0" fontId="3" fillId="0" borderId="0" xfId="0" applyFont="1" applyBorder="1"/>
    <xf numFmtId="0" fontId="0" fillId="3" borderId="8" xfId="0" applyFill="1" applyBorder="1" applyAlignment="1">
      <alignment horizontal="center"/>
    </xf>
    <xf numFmtId="0" fontId="3" fillId="3" borderId="8" xfId="0" applyFont="1" applyFill="1" applyBorder="1" applyAlignment="1">
      <alignment horizontal="center" vertical="center"/>
    </xf>
    <xf numFmtId="0" fontId="3" fillId="3" borderId="2" xfId="0" applyFont="1" applyFill="1" applyBorder="1" applyAlignment="1">
      <alignment horizontal="center"/>
    </xf>
    <xf numFmtId="0" fontId="3" fillId="3" borderId="3" xfId="0" applyFont="1" applyFill="1" applyBorder="1" applyAlignment="1">
      <alignment horizontal="center" vertical="top"/>
    </xf>
    <xf numFmtId="0" fontId="3" fillId="3" borderId="6" xfId="0" applyFont="1" applyFill="1" applyBorder="1" applyAlignment="1">
      <alignment horizontal="center"/>
    </xf>
    <xf numFmtId="0" fontId="3" fillId="0" borderId="0" xfId="0" applyFont="1" applyAlignment="1">
      <alignment vertical="top"/>
    </xf>
    <xf numFmtId="0" fontId="6" fillId="0" borderId="0" xfId="0" applyFont="1"/>
    <xf numFmtId="0" fontId="0" fillId="0" borderId="13" xfId="0" applyBorder="1"/>
    <xf numFmtId="0" fontId="0" fillId="0" borderId="14" xfId="0" applyBorder="1"/>
    <xf numFmtId="0" fontId="0" fillId="0" borderId="15" xfId="0" applyBorder="1"/>
    <xf numFmtId="0" fontId="0" fillId="4" borderId="9" xfId="0" applyNumberFormat="1" applyFill="1" applyBorder="1"/>
    <xf numFmtId="0" fontId="0" fillId="5" borderId="9" xfId="0" applyNumberFormat="1" applyFill="1" applyBorder="1"/>
    <xf numFmtId="0" fontId="0" fillId="6" borderId="9" xfId="0" applyNumberFormat="1" applyFill="1" applyBorder="1"/>
    <xf numFmtId="0" fontId="0" fillId="0" borderId="9" xfId="0" applyNumberFormat="1" applyBorder="1"/>
    <xf numFmtId="0" fontId="7" fillId="7" borderId="9" xfId="0" applyNumberFormat="1" applyFont="1" applyFill="1" applyBorder="1" applyAlignment="1">
      <alignment horizontal="right"/>
    </xf>
    <xf numFmtId="0" fontId="0" fillId="0" borderId="0" xfId="0" applyNumberFormat="1"/>
    <xf numFmtId="0" fontId="0" fillId="0" borderId="7" xfId="0" applyBorder="1"/>
    <xf numFmtId="0" fontId="0" fillId="0" borderId="8" xfId="0" applyBorder="1"/>
    <xf numFmtId="0" fontId="0" fillId="0" borderId="0" xfId="0" quotePrefix="1"/>
    <xf numFmtId="0" fontId="0" fillId="0" borderId="0" xfId="0" applyAlignment="1">
      <alignment horizontal="center"/>
    </xf>
    <xf numFmtId="0" fontId="0" fillId="0" borderId="22" xfId="0" applyBorder="1" applyAlignment="1">
      <alignment horizontal="center"/>
    </xf>
    <xf numFmtId="0" fontId="0" fillId="0" borderId="0" xfId="0" applyNumberFormat="1" applyAlignment="1">
      <alignment horizontal="center"/>
    </xf>
    <xf numFmtId="0" fontId="0" fillId="0" borderId="23" xfId="0" applyNumberFormat="1" applyBorder="1" applyAlignment="1">
      <alignment horizontal="center"/>
    </xf>
    <xf numFmtId="0" fontId="0" fillId="3" borderId="24" xfId="0" applyNumberFormat="1" applyFill="1" applyBorder="1" applyAlignment="1">
      <alignment horizontal="center"/>
    </xf>
    <xf numFmtId="0" fontId="0" fillId="3" borderId="25" xfId="0" applyNumberFormat="1" applyFill="1" applyBorder="1" applyAlignment="1">
      <alignment horizontal="center"/>
    </xf>
    <xf numFmtId="0" fontId="0" fillId="3" borderId="18" xfId="0" applyNumberFormat="1" applyFill="1" applyBorder="1" applyAlignment="1">
      <alignment horizontal="center"/>
    </xf>
    <xf numFmtId="0" fontId="0" fillId="3" borderId="26" xfId="0" applyNumberFormat="1" applyFill="1" applyBorder="1" applyAlignment="1">
      <alignment horizontal="center"/>
    </xf>
    <xf numFmtId="0" fontId="0" fillId="3" borderId="27" xfId="0" applyNumberFormat="1" applyFill="1" applyBorder="1" applyAlignment="1">
      <alignment horizontal="center"/>
    </xf>
    <xf numFmtId="0" fontId="0" fillId="3" borderId="28" xfId="0" applyNumberFormat="1" applyFill="1" applyBorder="1" applyAlignment="1">
      <alignment horizontal="center"/>
    </xf>
    <xf numFmtId="0" fontId="0" fillId="0" borderId="29" xfId="0" applyBorder="1" applyAlignment="1">
      <alignment horizontal="center"/>
    </xf>
    <xf numFmtId="0" fontId="0" fillId="3" borderId="30" xfId="0" applyNumberFormat="1" applyFill="1" applyBorder="1" applyAlignment="1">
      <alignment horizontal="center"/>
    </xf>
    <xf numFmtId="0" fontId="0" fillId="0" borderId="0" xfId="0" applyNumberFormat="1" applyFill="1" applyBorder="1" applyAlignment="1">
      <alignment horizontal="center"/>
    </xf>
    <xf numFmtId="0" fontId="0" fillId="3" borderId="31" xfId="0" applyNumberFormat="1" applyFill="1" applyBorder="1" applyAlignment="1">
      <alignment horizontal="center"/>
    </xf>
    <xf numFmtId="0" fontId="0" fillId="0" borderId="32" xfId="0" applyNumberFormat="1" applyFill="1" applyBorder="1" applyAlignment="1"/>
    <xf numFmtId="0" fontId="0" fillId="0" borderId="33" xfId="0" applyNumberFormat="1" applyBorder="1" applyAlignment="1">
      <alignment horizontal="center"/>
    </xf>
    <xf numFmtId="0" fontId="0" fillId="3" borderId="22" xfId="0" applyNumberFormat="1" applyFill="1" applyBorder="1" applyAlignment="1">
      <alignment horizontal="center"/>
    </xf>
    <xf numFmtId="0" fontId="0" fillId="3" borderId="34" xfId="0" applyNumberFormat="1" applyFill="1" applyBorder="1" applyAlignment="1">
      <alignment horizontal="center"/>
    </xf>
    <xf numFmtId="0" fontId="0" fillId="3" borderId="35" xfId="0" applyNumberFormat="1" applyFill="1" applyBorder="1" applyAlignment="1">
      <alignment horizontal="center"/>
    </xf>
    <xf numFmtId="0" fontId="0" fillId="0" borderId="36" xfId="0" applyFill="1" applyBorder="1"/>
    <xf numFmtId="0" fontId="0" fillId="3" borderId="37" xfId="0" applyNumberFormat="1" applyFill="1" applyBorder="1" applyAlignment="1">
      <alignment horizontal="center"/>
    </xf>
    <xf numFmtId="0" fontId="0" fillId="3" borderId="38" xfId="0" applyNumberFormat="1" applyFill="1" applyBorder="1" applyAlignment="1">
      <alignment horizontal="center"/>
    </xf>
    <xf numFmtId="0" fontId="0" fillId="3" borderId="39" xfId="0" applyNumberFormat="1" applyFill="1" applyBorder="1" applyAlignment="1">
      <alignment horizontal="center"/>
    </xf>
    <xf numFmtId="0" fontId="0" fillId="3" borderId="40" xfId="0" applyNumberFormat="1" applyFill="1" applyBorder="1" applyAlignment="1">
      <alignment horizontal="center"/>
    </xf>
    <xf numFmtId="0" fontId="0" fillId="0" borderId="27" xfId="0" applyNumberFormat="1" applyBorder="1" applyAlignment="1">
      <alignment horizontal="center"/>
    </xf>
    <xf numFmtId="0" fontId="0" fillId="3" borderId="41" xfId="0" applyNumberFormat="1" applyFill="1" applyBorder="1" applyAlignment="1">
      <alignment horizontal="center"/>
    </xf>
    <xf numFmtId="0" fontId="0" fillId="3" borderId="42" xfId="0" applyNumberFormat="1" applyFill="1" applyBorder="1" applyAlignment="1">
      <alignment horizontal="center"/>
    </xf>
    <xf numFmtId="0" fontId="0" fillId="3" borderId="43" xfId="0" applyNumberFormat="1" applyFill="1" applyBorder="1" applyAlignment="1">
      <alignment horizontal="center"/>
    </xf>
    <xf numFmtId="0" fontId="0" fillId="3" borderId="44" xfId="0" applyNumberFormat="1" applyFill="1" applyBorder="1" applyAlignment="1">
      <alignment horizontal="center"/>
    </xf>
    <xf numFmtId="0" fontId="0" fillId="3" borderId="45" xfId="0" applyNumberFormat="1" applyFill="1" applyBorder="1" applyAlignment="1">
      <alignment horizontal="center"/>
    </xf>
    <xf numFmtId="0" fontId="0" fillId="0" borderId="46" xfId="0" applyNumberFormat="1" applyBorder="1" applyAlignment="1">
      <alignment horizontal="center"/>
    </xf>
    <xf numFmtId="0" fontId="0" fillId="3" borderId="47" xfId="0" applyNumberFormat="1" applyFill="1" applyBorder="1" applyAlignment="1">
      <alignment horizontal="center"/>
    </xf>
    <xf numFmtId="0" fontId="0" fillId="0" borderId="10" xfId="0" applyBorder="1"/>
    <xf numFmtId="0" fontId="0" fillId="0" borderId="12" xfId="0" applyBorder="1"/>
    <xf numFmtId="0" fontId="0" fillId="0" borderId="51" xfId="0" applyBorder="1"/>
    <xf numFmtId="0" fontId="0" fillId="0" borderId="52" xfId="0" applyBorder="1"/>
    <xf numFmtId="0" fontId="9" fillId="0" borderId="0" xfId="0" applyNumberFormat="1" applyFont="1"/>
    <xf numFmtId="0" fontId="0" fillId="0" borderId="0" xfId="0" applyBorder="1"/>
    <xf numFmtId="0" fontId="9" fillId="0" borderId="0" xfId="0" applyFont="1"/>
    <xf numFmtId="0" fontId="0" fillId="0" borderId="9" xfId="0" applyBorder="1" applyAlignment="1">
      <alignment horizontal="center"/>
    </xf>
    <xf numFmtId="0" fontId="0" fillId="0" borderId="9" xfId="0" applyBorder="1"/>
    <xf numFmtId="0" fontId="0" fillId="0" borderId="5" xfId="0" applyNumberFormat="1" applyBorder="1"/>
    <xf numFmtId="0" fontId="9" fillId="0" borderId="5" xfId="0" applyNumberFormat="1" applyFont="1" applyBorder="1"/>
    <xf numFmtId="0" fontId="0" fillId="0" borderId="11" xfId="0" applyBorder="1" applyAlignment="1">
      <alignment horizontal="center"/>
    </xf>
    <xf numFmtId="0" fontId="0" fillId="0" borderId="11" xfId="0" applyBorder="1"/>
    <xf numFmtId="0" fontId="0" fillId="0" borderId="5" xfId="0" applyBorder="1"/>
    <xf numFmtId="0" fontId="9" fillId="0" borderId="18" xfId="0" applyNumberFormat="1" applyFont="1" applyBorder="1"/>
    <xf numFmtId="0" fontId="0" fillId="0" borderId="6" xfId="0" applyBorder="1"/>
    <xf numFmtId="0" fontId="0" fillId="0" borderId="0" xfId="0" applyNumberFormat="1" applyBorder="1"/>
    <xf numFmtId="0" fontId="9" fillId="0" borderId="0" xfId="0" applyNumberFormat="1" applyFont="1" applyBorder="1"/>
    <xf numFmtId="0" fontId="9" fillId="0" borderId="53" xfId="0" applyNumberFormat="1" applyFont="1" applyBorder="1"/>
    <xf numFmtId="0" fontId="0" fillId="0" borderId="36" xfId="0" applyBorder="1"/>
    <xf numFmtId="0" fontId="9" fillId="0" borderId="36" xfId="0" applyNumberFormat="1" applyFont="1" applyBorder="1"/>
    <xf numFmtId="0" fontId="9" fillId="0" borderId="19" xfId="0" applyNumberFormat="1" applyFont="1" applyBorder="1"/>
    <xf numFmtId="1" fontId="0" fillId="0" borderId="0" xfId="0" applyNumberFormat="1"/>
    <xf numFmtId="14" fontId="0" fillId="0" borderId="0" xfId="0" applyNumberFormat="1"/>
    <xf numFmtId="0" fontId="3" fillId="0" borderId="0" xfId="0" applyFont="1" applyAlignment="1">
      <alignment horizontal="right"/>
    </xf>
    <xf numFmtId="0" fontId="0" fillId="0" borderId="17" xfId="0" applyNumberFormat="1" applyBorder="1" applyAlignment="1">
      <alignment horizontal="center"/>
    </xf>
    <xf numFmtId="0" fontId="3" fillId="0" borderId="0" xfId="0" applyFont="1" applyBorder="1" applyAlignment="1">
      <alignment horizontal="center" vertical="center"/>
    </xf>
    <xf numFmtId="0" fontId="3" fillId="0" borderId="0" xfId="0" applyFont="1" applyAlignment="1">
      <alignment horizontal="center" vertical="center"/>
    </xf>
    <xf numFmtId="0" fontId="9" fillId="0" borderId="0" xfId="0" applyFont="1" applyAlignment="1">
      <alignment horizontal="right"/>
    </xf>
    <xf numFmtId="0" fontId="9" fillId="0" borderId="11" xfId="0" applyNumberFormat="1" applyFont="1" applyBorder="1"/>
    <xf numFmtId="0" fontId="9" fillId="0" borderId="14" xfId="0" applyNumberFormat="1" applyFont="1" applyBorder="1"/>
    <xf numFmtId="0" fontId="9" fillId="0" borderId="11" xfId="0" applyNumberFormat="1" applyFont="1" applyBorder="1" applyAlignment="1">
      <alignment horizontal="left"/>
    </xf>
    <xf numFmtId="0" fontId="9" fillId="0" borderId="14" xfId="0" applyNumberFormat="1" applyFont="1" applyBorder="1" applyAlignment="1">
      <alignment horizontal="left"/>
    </xf>
    <xf numFmtId="0" fontId="9" fillId="0" borderId="11" xfId="0" applyFont="1" applyBorder="1"/>
    <xf numFmtId="0" fontId="9" fillId="0" borderId="14" xfId="0" applyFont="1" applyBorder="1"/>
    <xf numFmtId="0" fontId="9" fillId="0" borderId="11" xfId="0" applyFont="1" applyBorder="1" applyAlignment="1">
      <alignment horizontal="right"/>
    </xf>
    <xf numFmtId="0" fontId="9" fillId="0" borderId="14" xfId="0" applyFont="1" applyBorder="1" applyAlignment="1">
      <alignment horizontal="right"/>
    </xf>
    <xf numFmtId="0" fontId="0" fillId="0" borderId="11" xfId="0" applyBorder="1" applyAlignment="1">
      <alignment horizontal="right"/>
    </xf>
    <xf numFmtId="0" fontId="0" fillId="0" borderId="14" xfId="0" applyBorder="1" applyAlignment="1">
      <alignment horizontal="right"/>
    </xf>
    <xf numFmtId="0" fontId="0" fillId="0" borderId="0" xfId="0" applyBorder="1" applyAlignment="1">
      <alignment horizontal="right"/>
    </xf>
    <xf numFmtId="0" fontId="9" fillId="0" borderId="0" xfId="0" applyFont="1" applyBorder="1"/>
    <xf numFmtId="0" fontId="0" fillId="0" borderId="0" xfId="0" applyNumberFormat="1" applyBorder="1" applyAlignment="1">
      <alignment horizontal="center"/>
    </xf>
    <xf numFmtId="0" fontId="9" fillId="0" borderId="7" xfId="0" applyFont="1" applyBorder="1"/>
    <xf numFmtId="0" fontId="0" fillId="0" borderId="18" xfId="0" applyBorder="1"/>
    <xf numFmtId="0" fontId="0" fillId="0" borderId="53" xfId="0" applyBorder="1"/>
    <xf numFmtId="0" fontId="9" fillId="0" borderId="6" xfId="0" applyFont="1" applyBorder="1"/>
    <xf numFmtId="0" fontId="0" fillId="0" borderId="6" xfId="0" applyNumberFormat="1" applyBorder="1"/>
    <xf numFmtId="0" fontId="1" fillId="2" borderId="21" xfId="1" applyNumberFormat="1" applyBorder="1"/>
    <xf numFmtId="0" fontId="1" fillId="2" borderId="54" xfId="1" applyNumberFormat="1" applyBorder="1"/>
    <xf numFmtId="166" fontId="1" fillId="2" borderId="48" xfId="1" applyNumberFormat="1" applyBorder="1"/>
    <xf numFmtId="166" fontId="1" fillId="2" borderId="50" xfId="1" applyNumberFormat="1" applyBorder="1"/>
    <xf numFmtId="1" fontId="0" fillId="0" borderId="9" xfId="0" applyNumberFormat="1" applyBorder="1"/>
    <xf numFmtId="169" fontId="0" fillId="6" borderId="54" xfId="0" applyNumberFormat="1" applyFill="1" applyBorder="1"/>
    <xf numFmtId="169" fontId="0" fillId="5" borderId="54" xfId="0" applyNumberFormat="1" applyFill="1" applyBorder="1"/>
    <xf numFmtId="0" fontId="0" fillId="9" borderId="21" xfId="0" applyFill="1" applyBorder="1" applyAlignment="1">
      <alignment horizontal="center"/>
    </xf>
    <xf numFmtId="0" fontId="0" fillId="9" borderId="62" xfId="0" applyFill="1" applyBorder="1" applyAlignment="1">
      <alignment horizontal="center"/>
    </xf>
    <xf numFmtId="0" fontId="0" fillId="9" borderId="20" xfId="0" applyFill="1" applyBorder="1" applyAlignment="1">
      <alignment horizontal="center"/>
    </xf>
    <xf numFmtId="0" fontId="0" fillId="9" borderId="61" xfId="0" applyFill="1" applyBorder="1" applyAlignment="1">
      <alignment horizontal="center"/>
    </xf>
    <xf numFmtId="0" fontId="0" fillId="5" borderId="60" xfId="0" applyFill="1" applyBorder="1" applyAlignment="1">
      <alignment horizontal="center"/>
    </xf>
    <xf numFmtId="0" fontId="0" fillId="6" borderId="60" xfId="0" applyFill="1" applyBorder="1" applyAlignment="1">
      <alignment horizontal="center"/>
    </xf>
    <xf numFmtId="0" fontId="1" fillId="2" borderId="54" xfId="1" applyBorder="1"/>
    <xf numFmtId="2" fontId="0" fillId="0" borderId="0" xfId="0" applyNumberFormat="1"/>
    <xf numFmtId="0" fontId="0" fillId="6" borderId="20" xfId="0" applyFill="1" applyBorder="1" applyAlignment="1">
      <alignment horizontal="center"/>
    </xf>
    <xf numFmtId="0" fontId="0" fillId="6" borderId="21" xfId="0" applyFill="1" applyBorder="1" applyAlignment="1">
      <alignment horizontal="center"/>
    </xf>
    <xf numFmtId="0" fontId="0" fillId="5" borderId="20" xfId="0" applyFill="1" applyBorder="1" applyAlignment="1">
      <alignment horizontal="center"/>
    </xf>
    <xf numFmtId="0" fontId="0" fillId="0" borderId="0" xfId="0" applyNumberFormat="1" applyFont="1" applyBorder="1" applyAlignment="1">
      <alignment horizontal="center"/>
    </xf>
    <xf numFmtId="0" fontId="0" fillId="10" borderId="48" xfId="0" applyFill="1" applyBorder="1" applyAlignment="1">
      <alignment horizontal="center" vertical="center"/>
    </xf>
    <xf numFmtId="0" fontId="0" fillId="10" borderId="50" xfId="0" applyFill="1" applyBorder="1" applyAlignment="1">
      <alignment horizontal="center"/>
    </xf>
    <xf numFmtId="0" fontId="0" fillId="6" borderId="48" xfId="0" applyFill="1" applyBorder="1" applyAlignment="1">
      <alignment horizontal="center"/>
    </xf>
    <xf numFmtId="0" fontId="0" fillId="6" borderId="50" xfId="0" applyFill="1" applyBorder="1" applyAlignment="1">
      <alignment horizontal="center"/>
    </xf>
    <xf numFmtId="0" fontId="0" fillId="11" borderId="48" xfId="0" applyFill="1" applyBorder="1" applyAlignment="1">
      <alignment horizontal="center" vertical="center"/>
    </xf>
    <xf numFmtId="0" fontId="0" fillId="11" borderId="50" xfId="0" applyFill="1" applyBorder="1" applyAlignment="1">
      <alignment horizontal="center"/>
    </xf>
    <xf numFmtId="0" fontId="0" fillId="12" borderId="48" xfId="0" applyFill="1" applyBorder="1" applyAlignment="1">
      <alignment horizontal="center"/>
    </xf>
    <xf numFmtId="0" fontId="0" fillId="12" borderId="50" xfId="0" applyFill="1" applyBorder="1" applyAlignment="1">
      <alignment horizontal="center"/>
    </xf>
    <xf numFmtId="0" fontId="0" fillId="14" borderId="48" xfId="0" applyFill="1" applyBorder="1" applyAlignment="1">
      <alignment horizontal="center"/>
    </xf>
    <xf numFmtId="0" fontId="0" fillId="14" borderId="50" xfId="0" applyFill="1" applyBorder="1" applyAlignment="1">
      <alignment horizontal="center"/>
    </xf>
    <xf numFmtId="0" fontId="0" fillId="15" borderId="48" xfId="0" applyFill="1" applyBorder="1" applyAlignment="1">
      <alignment horizontal="center"/>
    </xf>
    <xf numFmtId="0" fontId="0" fillId="15" borderId="50" xfId="0" applyFill="1" applyBorder="1" applyAlignment="1">
      <alignment horizontal="center"/>
    </xf>
    <xf numFmtId="0" fontId="0" fillId="8" borderId="48" xfId="0" applyFill="1" applyBorder="1" applyAlignment="1">
      <alignment horizontal="center"/>
    </xf>
    <xf numFmtId="0" fontId="0" fillId="8" borderId="50" xfId="0" applyFill="1" applyBorder="1" applyAlignment="1">
      <alignment horizontal="center"/>
    </xf>
    <xf numFmtId="0" fontId="0" fillId="7" borderId="48" xfId="0" applyFill="1" applyBorder="1" applyAlignment="1">
      <alignment horizontal="center"/>
    </xf>
    <xf numFmtId="0" fontId="0" fillId="7" borderId="50" xfId="0" applyFill="1" applyBorder="1" applyAlignment="1">
      <alignment horizontal="center"/>
    </xf>
    <xf numFmtId="0" fontId="0" fillId="17" borderId="48" xfId="0" applyFill="1" applyBorder="1" applyAlignment="1">
      <alignment horizontal="center"/>
    </xf>
    <xf numFmtId="0" fontId="0" fillId="17" borderId="50" xfId="0" applyFill="1" applyBorder="1" applyAlignment="1">
      <alignment horizontal="center"/>
    </xf>
    <xf numFmtId="0" fontId="0" fillId="3" borderId="48" xfId="0" applyFill="1" applyBorder="1" applyAlignment="1">
      <alignment horizontal="center"/>
    </xf>
    <xf numFmtId="0" fontId="0" fillId="3" borderId="50" xfId="0" applyFill="1" applyBorder="1" applyAlignment="1">
      <alignment horizontal="center"/>
    </xf>
    <xf numFmtId="0" fontId="0" fillId="18" borderId="48" xfId="0" applyFill="1" applyBorder="1" applyAlignment="1">
      <alignment horizontal="center"/>
    </xf>
    <xf numFmtId="0" fontId="0" fillId="18" borderId="50" xfId="0" applyFill="1" applyBorder="1" applyAlignment="1">
      <alignment horizontal="center"/>
    </xf>
    <xf numFmtId="0" fontId="0" fillId="19" borderId="48" xfId="0" applyFill="1" applyBorder="1" applyAlignment="1">
      <alignment horizontal="center"/>
    </xf>
    <xf numFmtId="0" fontId="0" fillId="19" borderId="50" xfId="0" applyFill="1" applyBorder="1" applyAlignment="1">
      <alignment horizontal="center"/>
    </xf>
    <xf numFmtId="0" fontId="12" fillId="0" borderId="0" xfId="0" applyFont="1"/>
    <xf numFmtId="0" fontId="0" fillId="13" borderId="63" xfId="0" applyFill="1" applyBorder="1" applyAlignment="1">
      <alignment horizontal="center"/>
    </xf>
    <xf numFmtId="0" fontId="0" fillId="13" borderId="64" xfId="0" applyNumberFormat="1" applyFill="1" applyBorder="1" applyAlignment="1">
      <alignment horizontal="center"/>
    </xf>
    <xf numFmtId="0" fontId="0" fillId="0" borderId="10" xfId="0" applyNumberFormat="1" applyBorder="1" applyAlignment="1">
      <alignment horizontal="center"/>
    </xf>
    <xf numFmtId="0" fontId="0" fillId="0" borderId="11" xfId="0" applyNumberFormat="1" applyBorder="1" applyAlignment="1">
      <alignment horizontal="center"/>
    </xf>
    <xf numFmtId="0" fontId="0" fillId="0" borderId="12" xfId="0" applyNumberFormat="1" applyBorder="1" applyAlignment="1">
      <alignment horizontal="center"/>
    </xf>
    <xf numFmtId="0" fontId="0" fillId="0" borderId="51" xfId="0" applyNumberFormat="1" applyBorder="1" applyAlignment="1">
      <alignment horizontal="center"/>
    </xf>
    <xf numFmtId="0" fontId="0" fillId="0" borderId="9" xfId="0" applyNumberFormat="1" applyBorder="1" applyAlignment="1">
      <alignment horizontal="center"/>
    </xf>
    <xf numFmtId="0" fontId="0" fillId="0" borderId="52" xfId="0" applyNumberFormat="1" applyBorder="1" applyAlignment="1">
      <alignment horizontal="center"/>
    </xf>
    <xf numFmtId="0" fontId="0" fillId="0" borderId="13" xfId="0" applyNumberFormat="1" applyBorder="1" applyAlignment="1">
      <alignment horizontal="center"/>
    </xf>
    <xf numFmtId="0" fontId="0" fillId="0" borderId="14" xfId="0" applyNumberFormat="1" applyBorder="1" applyAlignment="1">
      <alignment horizontal="center"/>
    </xf>
    <xf numFmtId="0" fontId="0" fillId="0" borderId="15" xfId="0" applyNumberFormat="1" applyBorder="1" applyAlignment="1">
      <alignment horizontal="center"/>
    </xf>
    <xf numFmtId="0" fontId="0" fillId="0" borderId="14" xfId="0" applyNumberFormat="1" applyFont="1" applyBorder="1" applyAlignment="1">
      <alignment horizontal="center"/>
    </xf>
    <xf numFmtId="0" fontId="15" fillId="0" borderId="0" xfId="2"/>
    <xf numFmtId="0" fontId="0" fillId="0" borderId="9" xfId="0" applyFill="1" applyBorder="1"/>
    <xf numFmtId="0" fontId="0" fillId="0" borderId="10" xfId="0" applyBorder="1" applyAlignment="1">
      <alignment horizontal="center"/>
    </xf>
    <xf numFmtId="0" fontId="0" fillId="0" borderId="12" xfId="0" applyBorder="1" applyAlignment="1">
      <alignment horizontal="center"/>
    </xf>
    <xf numFmtId="0" fontId="0" fillId="0" borderId="15" xfId="0" applyBorder="1" applyAlignment="1">
      <alignment horizontal="center"/>
    </xf>
    <xf numFmtId="9" fontId="0" fillId="0" borderId="0" xfId="0" applyNumberFormat="1"/>
    <xf numFmtId="0" fontId="18" fillId="0" borderId="9" xfId="0" applyFont="1" applyBorder="1" applyAlignment="1">
      <alignment horizontal="center"/>
    </xf>
    <xf numFmtId="0" fontId="3" fillId="0" borderId="51" xfId="0" applyFont="1" applyBorder="1"/>
    <xf numFmtId="0" fontId="3" fillId="0" borderId="9" xfId="0" applyFont="1" applyBorder="1"/>
    <xf numFmtId="0" fontId="3" fillId="0" borderId="52" xfId="0" applyFont="1" applyBorder="1"/>
    <xf numFmtId="0" fontId="3" fillId="0" borderId="13" xfId="0" applyFont="1" applyBorder="1"/>
    <xf numFmtId="0" fontId="3" fillId="0" borderId="14" xfId="0" applyFont="1" applyBorder="1"/>
    <xf numFmtId="0" fontId="3" fillId="0" borderId="15" xfId="0" applyFont="1" applyBorder="1"/>
    <xf numFmtId="0" fontId="20" fillId="0" borderId="12" xfId="0" applyFont="1" applyBorder="1" applyAlignment="1">
      <alignment horizontal="center"/>
    </xf>
    <xf numFmtId="0" fontId="3" fillId="0" borderId="0" xfId="0" applyNumberFormat="1" applyFont="1"/>
    <xf numFmtId="168" fontId="3" fillId="0" borderId="9" xfId="0" applyNumberFormat="1" applyFont="1" applyBorder="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vertical="center"/>
    </xf>
    <xf numFmtId="0" fontId="0" fillId="8" borderId="9" xfId="0" applyFill="1" applyBorder="1" applyAlignment="1">
      <alignment horizontal="center" vertical="center"/>
    </xf>
    <xf numFmtId="0" fontId="0" fillId="14" borderId="13" xfId="0" applyFill="1" applyBorder="1" applyAlignment="1">
      <alignment horizontal="center" vertical="center"/>
    </xf>
    <xf numFmtId="0" fontId="0" fillId="22" borderId="10" xfId="0" applyFill="1" applyBorder="1" applyAlignment="1">
      <alignment horizontal="center" vertical="center"/>
    </xf>
    <xf numFmtId="0" fontId="0" fillId="5" borderId="15" xfId="0" applyFill="1" applyBorder="1" applyAlignment="1">
      <alignment horizontal="center"/>
    </xf>
    <xf numFmtId="0" fontId="0" fillId="7" borderId="12" xfId="0" applyFill="1" applyBorder="1" applyAlignment="1">
      <alignment horizontal="center"/>
    </xf>
    <xf numFmtId="0" fontId="0" fillId="0" borderId="26" xfId="0" applyBorder="1" applyAlignment="1">
      <alignment horizontal="center" vertical="center"/>
    </xf>
    <xf numFmtId="0" fontId="0" fillId="0" borderId="22" xfId="0" applyBorder="1" applyAlignment="1">
      <alignment horizontal="center" vertical="center"/>
    </xf>
    <xf numFmtId="0" fontId="0" fillId="0" borderId="69" xfId="0" applyBorder="1" applyAlignment="1">
      <alignment horizontal="center" vertical="center"/>
    </xf>
    <xf numFmtId="0" fontId="0" fillId="0" borderId="55" xfId="0" applyBorder="1" applyAlignment="1">
      <alignment horizontal="center" vertical="center"/>
    </xf>
    <xf numFmtId="0" fontId="0" fillId="0" borderId="28" xfId="0" applyBorder="1" applyAlignment="1">
      <alignment horizontal="center" vertical="center"/>
    </xf>
    <xf numFmtId="0" fontId="0" fillId="0" borderId="35" xfId="0" applyBorder="1" applyAlignment="1">
      <alignment horizontal="center" vertical="center"/>
    </xf>
    <xf numFmtId="0" fontId="0" fillId="0" borderId="70" xfId="0" applyBorder="1" applyAlignment="1">
      <alignment horizontal="center" vertical="center"/>
    </xf>
    <xf numFmtId="0" fontId="0" fillId="0" borderId="19" xfId="0" applyBorder="1" applyAlignment="1">
      <alignment horizontal="center" vertical="center"/>
    </xf>
    <xf numFmtId="0" fontId="0" fillId="21" borderId="11" xfId="0" applyFill="1" applyBorder="1" applyAlignment="1">
      <alignment horizontal="center"/>
    </xf>
    <xf numFmtId="0" fontId="0" fillId="9" borderId="51" xfId="0" applyFill="1" applyBorder="1" applyAlignment="1">
      <alignment horizontal="center" vertical="center"/>
    </xf>
    <xf numFmtId="0" fontId="0" fillId="11" borderId="52" xfId="0" applyFill="1" applyBorder="1" applyAlignment="1">
      <alignment horizontal="center"/>
    </xf>
    <xf numFmtId="0" fontId="0" fillId="6" borderId="14" xfId="0" applyFill="1" applyBorder="1" applyAlignment="1">
      <alignment horizontal="center" vertical="center"/>
    </xf>
    <xf numFmtId="0" fontId="0" fillId="0" borderId="9" xfId="0" applyBorder="1" applyAlignment="1">
      <alignment horizontal="left"/>
    </xf>
    <xf numFmtId="0" fontId="0" fillId="0" borderId="0" xfId="0" applyFont="1"/>
    <xf numFmtId="0" fontId="9" fillId="0" borderId="13" xfId="0" applyFont="1" applyBorder="1" applyAlignment="1">
      <alignment horizontal="center"/>
    </xf>
    <xf numFmtId="0" fontId="9" fillId="0" borderId="15" xfId="0" applyFont="1" applyBorder="1" applyAlignment="1">
      <alignment horizontal="center"/>
    </xf>
    <xf numFmtId="0" fontId="9" fillId="0" borderId="12" xfId="0" applyFont="1" applyBorder="1"/>
    <xf numFmtId="0" fontId="9" fillId="0" borderId="52" xfId="0" applyFont="1" applyBorder="1"/>
    <xf numFmtId="0" fontId="9" fillId="0" borderId="15" xfId="0" applyFont="1" applyBorder="1"/>
    <xf numFmtId="0" fontId="9" fillId="0" borderId="9" xfId="0" applyFont="1" applyBorder="1"/>
    <xf numFmtId="0" fontId="9" fillId="0" borderId="20" xfId="0" applyFont="1" applyBorder="1"/>
    <xf numFmtId="0" fontId="0" fillId="0" borderId="60" xfId="0" applyBorder="1"/>
    <xf numFmtId="0" fontId="9" fillId="0" borderId="21" xfId="0" applyFont="1" applyBorder="1"/>
    <xf numFmtId="0" fontId="9" fillId="0" borderId="13" xfId="0" applyFont="1" applyBorder="1"/>
    <xf numFmtId="0" fontId="0" fillId="0" borderId="29" xfId="0" applyBorder="1" applyAlignment="1">
      <alignment horizontal="center" vertical="center"/>
    </xf>
    <xf numFmtId="0" fontId="0" fillId="0" borderId="17" xfId="0" applyBorder="1" applyAlignment="1">
      <alignment horizontal="center" vertical="center"/>
    </xf>
    <xf numFmtId="0" fontId="0" fillId="0" borderId="52"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24" fillId="23" borderId="74" xfId="4"/>
    <xf numFmtId="0" fontId="0" fillId="0" borderId="0" xfId="0" applyAlignment="1">
      <alignment horizontal="center"/>
    </xf>
    <xf numFmtId="0" fontId="25" fillId="14" borderId="9" xfId="0" applyFont="1" applyFill="1" applyBorder="1" applyAlignment="1">
      <alignment horizontal="center"/>
    </xf>
    <xf numFmtId="0" fontId="25" fillId="14" borderId="52" xfId="0" applyFont="1" applyFill="1" applyBorder="1"/>
    <xf numFmtId="0" fontId="25" fillId="14" borderId="52" xfId="0" applyFont="1" applyFill="1" applyBorder="1" applyAlignment="1">
      <alignment horizontal="center" vertical="center" textRotation="90"/>
    </xf>
    <xf numFmtId="0" fontId="25" fillId="14" borderId="51" xfId="0" applyFont="1" applyFill="1" applyBorder="1" applyAlignment="1">
      <alignment horizontal="center"/>
    </xf>
    <xf numFmtId="0" fontId="3" fillId="13" borderId="9" xfId="0" applyFont="1" applyFill="1" applyBorder="1" applyAlignment="1">
      <alignment horizontal="center"/>
    </xf>
    <xf numFmtId="0" fontId="3" fillId="16" borderId="9" xfId="0" applyFont="1" applyFill="1" applyBorder="1" applyAlignment="1">
      <alignment horizontal="center"/>
    </xf>
    <xf numFmtId="0" fontId="3" fillId="25" borderId="9" xfId="0" applyFont="1" applyFill="1" applyBorder="1" applyAlignment="1">
      <alignment horizontal="center"/>
    </xf>
    <xf numFmtId="0" fontId="3" fillId="12" borderId="9" xfId="0" applyFont="1" applyFill="1" applyBorder="1" applyAlignment="1">
      <alignment horizontal="center"/>
    </xf>
    <xf numFmtId="0" fontId="0" fillId="0" borderId="0" xfId="0" applyBorder="1" applyAlignment="1">
      <alignment horizontal="center" wrapText="1"/>
    </xf>
    <xf numFmtId="0" fontId="9" fillId="0" borderId="10" xfId="0" applyFont="1" applyBorder="1"/>
    <xf numFmtId="0" fontId="0" fillId="0" borderId="19" xfId="0" applyBorder="1"/>
    <xf numFmtId="0" fontId="26" fillId="0" borderId="0" xfId="0" applyNumberFormat="1" applyFont="1"/>
    <xf numFmtId="0" fontId="25" fillId="14" borderId="52" xfId="0" applyFont="1" applyFill="1" applyBorder="1" applyAlignment="1">
      <alignment horizontal="center" vertical="center"/>
    </xf>
    <xf numFmtId="167" fontId="20" fillId="0" borderId="10" xfId="0" applyNumberFormat="1" applyFont="1" applyBorder="1" applyAlignment="1">
      <alignment horizontal="center"/>
    </xf>
    <xf numFmtId="167" fontId="20" fillId="0" borderId="11" xfId="0" applyNumberFormat="1" applyFont="1" applyBorder="1" applyAlignment="1">
      <alignment horizontal="center"/>
    </xf>
    <xf numFmtId="167" fontId="20" fillId="0" borderId="12" xfId="0" applyNumberFormat="1" applyFont="1" applyBorder="1" applyAlignment="1">
      <alignment horizontal="center"/>
    </xf>
    <xf numFmtId="168" fontId="3" fillId="0" borderId="51" xfId="0" applyNumberFormat="1" applyFont="1" applyBorder="1" applyAlignment="1">
      <alignment horizontal="center"/>
    </xf>
    <xf numFmtId="168" fontId="3" fillId="0" borderId="52" xfId="0" applyNumberFormat="1" applyFont="1" applyBorder="1" applyAlignment="1">
      <alignment horizontal="center"/>
    </xf>
    <xf numFmtId="168" fontId="3" fillId="0" borderId="13" xfId="0" applyNumberFormat="1" applyFont="1" applyBorder="1" applyAlignment="1">
      <alignment horizontal="center"/>
    </xf>
    <xf numFmtId="168" fontId="3" fillId="0" borderId="14" xfId="0" applyNumberFormat="1" applyFont="1" applyBorder="1" applyAlignment="1">
      <alignment horizontal="center"/>
    </xf>
    <xf numFmtId="168" fontId="3" fillId="0" borderId="15" xfId="0" applyNumberFormat="1" applyFont="1" applyBorder="1" applyAlignment="1">
      <alignment horizontal="center"/>
    </xf>
    <xf numFmtId="0" fontId="0" fillId="0" borderId="0" xfId="0" applyNumberFormat="1" applyAlignment="1">
      <alignment horizontal="left"/>
    </xf>
    <xf numFmtId="9" fontId="0" fillId="0" borderId="0" xfId="3" applyFont="1"/>
    <xf numFmtId="9" fontId="9" fillId="0" borderId="14" xfId="3" applyFont="1" applyBorder="1"/>
    <xf numFmtId="9" fontId="9" fillId="0" borderId="12" xfId="3" applyFont="1" applyBorder="1" applyAlignment="1">
      <alignment horizontal="left"/>
    </xf>
    <xf numFmtId="9" fontId="9" fillId="0" borderId="52" xfId="3" applyFont="1" applyBorder="1" applyAlignment="1">
      <alignment horizontal="left"/>
    </xf>
    <xf numFmtId="0" fontId="9" fillId="0" borderId="0" xfId="0" applyNumberFormat="1" applyFont="1" applyAlignment="1">
      <alignment horizontal="left"/>
    </xf>
    <xf numFmtId="0" fontId="9" fillId="0" borderId="9" xfId="0" applyFont="1" applyBorder="1" applyAlignment="1">
      <alignment horizontal="center"/>
    </xf>
    <xf numFmtId="0" fontId="9" fillId="0" borderId="9" xfId="0" quotePrefix="1" applyFont="1" applyBorder="1" applyAlignment="1">
      <alignment horizontal="center"/>
    </xf>
    <xf numFmtId="0" fontId="0" fillId="0" borderId="9" xfId="0" applyFill="1" applyBorder="1" applyAlignment="1">
      <alignment horizontal="center"/>
    </xf>
    <xf numFmtId="0" fontId="9" fillId="0" borderId="50" xfId="0" applyFont="1" applyBorder="1" applyAlignment="1">
      <alignment horizontal="center" vertical="center"/>
    </xf>
    <xf numFmtId="166" fontId="23" fillId="2" borderId="9" xfId="1" applyNumberFormat="1" applyFont="1" applyBorder="1"/>
    <xf numFmtId="0" fontId="9" fillId="0" borderId="48" xfId="0" applyFont="1" applyBorder="1" applyAlignment="1">
      <alignment horizontal="center" vertical="center"/>
    </xf>
    <xf numFmtId="0" fontId="9" fillId="0" borderId="58" xfId="0" applyFont="1" applyBorder="1" applyAlignment="1">
      <alignment horizontal="center"/>
    </xf>
    <xf numFmtId="0" fontId="0" fillId="0" borderId="50" xfId="0" applyFont="1" applyBorder="1"/>
    <xf numFmtId="0" fontId="0" fillId="0" borderId="78" xfId="0" applyFont="1" applyBorder="1"/>
    <xf numFmtId="0" fontId="9" fillId="0" borderId="48" xfId="0" applyFont="1" applyFill="1" applyBorder="1"/>
    <xf numFmtId="0" fontId="9" fillId="7" borderId="51" xfId="0" applyFont="1" applyFill="1" applyBorder="1"/>
    <xf numFmtId="0" fontId="9" fillId="7" borderId="52" xfId="0" applyFont="1" applyFill="1" applyBorder="1"/>
    <xf numFmtId="0" fontId="15" fillId="0" borderId="13" xfId="2" applyBorder="1"/>
    <xf numFmtId="0" fontId="0" fillId="8" borderId="10" xfId="0" applyNumberFormat="1" applyFill="1" applyBorder="1" applyAlignment="1">
      <alignment horizontal="center" vertical="center" wrapText="1"/>
    </xf>
    <xf numFmtId="0" fontId="0" fillId="8" borderId="11" xfId="0" applyNumberFormat="1" applyFill="1" applyBorder="1" applyAlignment="1">
      <alignment horizontal="center" vertical="center" wrapText="1"/>
    </xf>
    <xf numFmtId="0" fontId="0" fillId="8" borderId="12" xfId="0" applyNumberFormat="1" applyFill="1" applyBorder="1" applyAlignment="1">
      <alignment horizontal="center" vertical="center" wrapText="1"/>
    </xf>
    <xf numFmtId="0" fontId="9" fillId="0" borderId="14" xfId="0" applyFont="1" applyBorder="1" applyAlignment="1">
      <alignment horizontal="center"/>
    </xf>
    <xf numFmtId="0" fontId="0" fillId="0" borderId="51" xfId="0" applyFill="1" applyBorder="1" applyAlignment="1">
      <alignment horizontal="center"/>
    </xf>
    <xf numFmtId="0" fontId="0" fillId="0" borderId="52" xfId="0" applyFill="1" applyBorder="1" applyAlignment="1">
      <alignment horizontal="center"/>
    </xf>
    <xf numFmtId="0" fontId="0" fillId="0" borderId="51" xfId="0" applyBorder="1" applyAlignment="1"/>
    <xf numFmtId="0" fontId="0" fillId="0" borderId="51" xfId="0" applyBorder="1" applyAlignment="1">
      <alignment horizontal="center"/>
    </xf>
    <xf numFmtId="166" fontId="16" fillId="26" borderId="52" xfId="1" applyNumberFormat="1" applyFont="1" applyFill="1" applyBorder="1"/>
    <xf numFmtId="166" fontId="16" fillId="26" borderId="15" xfId="1" applyNumberFormat="1" applyFont="1" applyFill="1" applyBorder="1"/>
    <xf numFmtId="166" fontId="9" fillId="26" borderId="52" xfId="1" applyNumberFormat="1" applyFont="1" applyFill="1" applyBorder="1"/>
    <xf numFmtId="166" fontId="9" fillId="26" borderId="15" xfId="1" applyNumberFormat="1" applyFont="1" applyFill="1" applyBorder="1"/>
    <xf numFmtId="0" fontId="0" fillId="0" borderId="13" xfId="0" applyBorder="1" applyAlignment="1"/>
    <xf numFmtId="0" fontId="9" fillId="0" borderId="85" xfId="0" applyFont="1" applyBorder="1"/>
    <xf numFmtId="0" fontId="0" fillId="0" borderId="0" xfId="0" applyAlignment="1">
      <alignment horizontal="center" vertical="center"/>
    </xf>
    <xf numFmtId="0" fontId="0" fillId="0" borderId="0" xfId="0" applyAlignment="1">
      <alignment vertical="center"/>
    </xf>
    <xf numFmtId="0" fontId="0" fillId="0" borderId="11" xfId="0" applyFill="1" applyBorder="1" applyAlignment="1">
      <alignment horizontal="center"/>
    </xf>
    <xf numFmtId="0" fontId="9" fillId="0" borderId="52" xfId="0" applyFont="1" applyBorder="1" applyAlignment="1">
      <alignment horizontal="center"/>
    </xf>
    <xf numFmtId="166" fontId="16" fillId="26" borderId="12" xfId="1" applyNumberFormat="1" applyFont="1" applyFill="1" applyBorder="1"/>
    <xf numFmtId="166" fontId="16" fillId="26" borderId="64" xfId="1" applyNumberFormat="1" applyFont="1" applyFill="1" applyBorder="1"/>
    <xf numFmtId="14" fontId="0" fillId="0" borderId="7" xfId="0" applyNumberFormat="1" applyBorder="1"/>
    <xf numFmtId="0" fontId="0" fillId="0" borderId="0" xfId="0" applyFont="1" applyBorder="1" applyAlignment="1">
      <alignment horizontal="center"/>
    </xf>
    <xf numFmtId="14" fontId="0" fillId="0" borderId="6" xfId="0" applyNumberFormat="1" applyBorder="1"/>
    <xf numFmtId="14" fontId="0" fillId="0" borderId="8" xfId="0" applyNumberFormat="1" applyBorder="1"/>
    <xf numFmtId="0" fontId="0" fillId="0" borderId="36" xfId="0" applyNumberFormat="1" applyFont="1" applyBorder="1" applyAlignment="1">
      <alignment horizontal="center"/>
    </xf>
    <xf numFmtId="0" fontId="9"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0" fillId="0" borderId="0" xfId="0" applyAlignment="1">
      <alignment horizontal="center" vertical="top"/>
    </xf>
    <xf numFmtId="1" fontId="29" fillId="0" borderId="0" xfId="0" applyNumberFormat="1" applyFont="1" applyAlignment="1">
      <alignment horizontal="center"/>
    </xf>
    <xf numFmtId="1" fontId="29" fillId="0" borderId="0" xfId="0" applyNumberFormat="1" applyFont="1" applyAlignment="1">
      <alignment horizontal="right"/>
    </xf>
    <xf numFmtId="1" fontId="29" fillId="0" borderId="0" xfId="0" applyNumberFormat="1" applyFont="1" applyAlignment="1">
      <alignment horizontal="left"/>
    </xf>
    <xf numFmtId="0" fontId="0" fillId="0" borderId="0" xfId="0" quotePrefix="1" applyNumberFormat="1" applyAlignment="1">
      <alignment horizontal="center"/>
    </xf>
    <xf numFmtId="0" fontId="0" fillId="0" borderId="0" xfId="0" applyNumberFormat="1" applyBorder="1" applyAlignment="1">
      <alignment horizontal="left"/>
    </xf>
    <xf numFmtId="0" fontId="0" fillId="0" borderId="0" xfId="0" applyNumberFormat="1" applyBorder="1" applyAlignment="1">
      <alignment horizontal="right"/>
    </xf>
    <xf numFmtId="0" fontId="0" fillId="0" borderId="0" xfId="0" applyNumberFormat="1" applyBorder="1" applyAlignment="1">
      <alignment horizontal="center"/>
    </xf>
    <xf numFmtId="0" fontId="9" fillId="0" borderId="5" xfId="0" applyFont="1" applyBorder="1" applyAlignment="1">
      <alignment horizontal="left"/>
    </xf>
    <xf numFmtId="0" fontId="9" fillId="0" borderId="0" xfId="0" applyFont="1" applyBorder="1" applyAlignment="1">
      <alignment horizontal="left"/>
    </xf>
    <xf numFmtId="0" fontId="9" fillId="0" borderId="5" xfId="0" applyFont="1" applyBorder="1"/>
    <xf numFmtId="164" fontId="9" fillId="0" borderId="0" xfId="0" applyNumberFormat="1" applyFont="1" applyBorder="1"/>
    <xf numFmtId="165" fontId="9" fillId="0" borderId="6" xfId="0" applyNumberFormat="1" applyFont="1" applyBorder="1"/>
    <xf numFmtId="0" fontId="9" fillId="0" borderId="6" xfId="0" applyFont="1" applyBorder="1" applyAlignment="1">
      <alignment horizontal="right"/>
    </xf>
    <xf numFmtId="0" fontId="0" fillId="0" borderId="6" xfId="0" applyBorder="1" applyAlignment="1">
      <alignment horizontal="center"/>
    </xf>
    <xf numFmtId="0" fontId="0" fillId="0" borderId="0" xfId="0" applyAlignment="1">
      <alignment horizontal="center"/>
    </xf>
    <xf numFmtId="0" fontId="0" fillId="0" borderId="9" xfId="0" applyBorder="1" applyAlignment="1">
      <alignment horizontal="center"/>
    </xf>
    <xf numFmtId="9" fontId="9" fillId="0" borderId="0" xfId="3" applyFont="1" applyBorder="1" applyAlignment="1">
      <alignment horizontal="left"/>
    </xf>
    <xf numFmtId="170" fontId="17" fillId="0" borderId="0" xfId="0" applyNumberFormat="1" applyFont="1" applyBorder="1" applyAlignment="1">
      <alignment horizontal="center" vertical="center"/>
    </xf>
    <xf numFmtId="0" fontId="0" fillId="0" borderId="0" xfId="0" applyAlignment="1">
      <alignment horizontal="right"/>
    </xf>
    <xf numFmtId="0" fontId="0" fillId="0" borderId="55" xfId="0" applyBorder="1" applyAlignment="1">
      <alignment horizontal="center"/>
    </xf>
    <xf numFmtId="0" fontId="9" fillId="7" borderId="10" xfId="0" applyFont="1" applyFill="1" applyBorder="1"/>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9" fillId="0" borderId="0" xfId="0" applyNumberFormat="1" applyFont="1" applyBorder="1" applyAlignment="1">
      <alignment horizontal="center"/>
    </xf>
    <xf numFmtId="0" fontId="0" fillId="0" borderId="0" xfId="0" applyNumberFormat="1" applyBorder="1" applyAlignment="1">
      <alignment horizontal="center"/>
    </xf>
    <xf numFmtId="0" fontId="0" fillId="26" borderId="12" xfId="0" applyFill="1" applyBorder="1" applyAlignment="1">
      <alignment horizontal="center"/>
    </xf>
    <xf numFmtId="0" fontId="0" fillId="3" borderId="52" xfId="0" applyFill="1" applyBorder="1" applyAlignment="1">
      <alignment horizontal="center"/>
    </xf>
    <xf numFmtId="0" fontId="0" fillId="18" borderId="52" xfId="0" applyFill="1" applyBorder="1" applyAlignment="1">
      <alignment horizontal="center"/>
    </xf>
    <xf numFmtId="0" fontId="0" fillId="19" borderId="52" xfId="0" applyFill="1" applyBorder="1" applyAlignment="1">
      <alignment horizontal="center"/>
    </xf>
    <xf numFmtId="0" fontId="0" fillId="33" borderId="15" xfId="0" applyFill="1" applyBorder="1" applyAlignment="1">
      <alignment horizontal="center"/>
    </xf>
    <xf numFmtId="0" fontId="9" fillId="8" borderId="51" xfId="0" applyFont="1" applyFill="1" applyBorder="1"/>
    <xf numFmtId="0" fontId="0" fillId="8" borderId="52" xfId="0" applyFill="1" applyBorder="1" applyAlignment="1">
      <alignment horizontal="center" vertical="center"/>
    </xf>
    <xf numFmtId="0" fontId="27" fillId="0" borderId="0" xfId="0" applyFont="1" applyBorder="1" applyAlignment="1">
      <alignment horizontal="center"/>
    </xf>
    <xf numFmtId="0" fontId="0" fillId="0" borderId="0" xfId="0" applyFill="1" applyBorder="1" applyAlignment="1">
      <alignment horizontal="center"/>
    </xf>
    <xf numFmtId="0" fontId="0" fillId="4" borderId="57" xfId="0" applyNumberFormat="1" applyFill="1" applyBorder="1"/>
    <xf numFmtId="0" fontId="0" fillId="4" borderId="81" xfId="0" applyNumberFormat="1" applyFill="1" applyBorder="1"/>
    <xf numFmtId="0" fontId="7" fillId="7" borderId="83" xfId="0" applyNumberFormat="1" applyFont="1" applyFill="1" applyBorder="1" applyAlignment="1">
      <alignment horizontal="left"/>
    </xf>
    <xf numFmtId="0" fontId="0" fillId="12" borderId="51" xfId="0" applyNumberFormat="1" applyFill="1" applyBorder="1" applyAlignment="1">
      <alignment horizontal="center"/>
    </xf>
    <xf numFmtId="0" fontId="0" fillId="3" borderId="51" xfId="0" applyNumberFormat="1" applyFill="1" applyBorder="1" applyAlignment="1">
      <alignment horizontal="center"/>
    </xf>
    <xf numFmtId="0" fontId="0" fillId="3" borderId="52" xfId="0" applyNumberFormat="1" applyFill="1" applyBorder="1" applyAlignment="1">
      <alignment horizontal="center"/>
    </xf>
    <xf numFmtId="0" fontId="0" fillId="6" borderId="58" xfId="0" applyNumberFormat="1" applyFill="1" applyBorder="1" applyAlignment="1"/>
    <xf numFmtId="0" fontId="0" fillId="6" borderId="86" xfId="0" applyNumberFormat="1" applyFill="1" applyBorder="1" applyAlignment="1">
      <alignment horizontal="center"/>
    </xf>
    <xf numFmtId="0" fontId="7" fillId="7" borderId="87" xfId="0" applyNumberFormat="1" applyFont="1" applyFill="1" applyBorder="1" applyAlignment="1">
      <alignment horizontal="center"/>
    </xf>
    <xf numFmtId="0" fontId="9" fillId="26" borderId="57" xfId="0" applyFont="1" applyFill="1" applyBorder="1"/>
    <xf numFmtId="0" fontId="9" fillId="3" borderId="81" xfId="0" applyFont="1" applyFill="1" applyBorder="1"/>
    <xf numFmtId="0" fontId="9" fillId="18" borderId="81" xfId="0" applyFont="1" applyFill="1" applyBorder="1"/>
    <xf numFmtId="0" fontId="9" fillId="19" borderId="81" xfId="0" applyFont="1" applyFill="1" applyBorder="1"/>
    <xf numFmtId="0" fontId="9" fillId="33" borderId="83" xfId="0" applyFont="1" applyFill="1" applyBorder="1"/>
    <xf numFmtId="0" fontId="0" fillId="26" borderId="10" xfId="0" applyFill="1" applyBorder="1" applyAlignment="1">
      <alignment horizontal="center"/>
    </xf>
    <xf numFmtId="0" fontId="0" fillId="3" borderId="51" xfId="0" applyFill="1" applyBorder="1" applyAlignment="1">
      <alignment horizontal="center"/>
    </xf>
    <xf numFmtId="0" fontId="0" fillId="18" borderId="51" xfId="0" applyFill="1" applyBorder="1" applyAlignment="1">
      <alignment horizontal="center"/>
    </xf>
    <xf numFmtId="0" fontId="0" fillId="19" borderId="51" xfId="0" applyFill="1" applyBorder="1" applyAlignment="1">
      <alignment horizontal="center"/>
    </xf>
    <xf numFmtId="0" fontId="0" fillId="33" borderId="13" xfId="0" applyFill="1" applyBorder="1" applyAlignment="1">
      <alignment horizontal="center"/>
    </xf>
    <xf numFmtId="0" fontId="0" fillId="0" borderId="0" xfId="0" applyFont="1" applyBorder="1"/>
    <xf numFmtId="0" fontId="0" fillId="7" borderId="9" xfId="0" applyFill="1" applyBorder="1" applyAlignment="1">
      <alignment horizontal="center"/>
    </xf>
    <xf numFmtId="0" fontId="0" fillId="18" borderId="9" xfId="0" applyFill="1" applyBorder="1" applyAlignment="1">
      <alignment horizontal="center" vertical="center"/>
    </xf>
    <xf numFmtId="0" fontId="0" fillId="7" borderId="52" xfId="0" applyFill="1" applyBorder="1" applyAlignment="1">
      <alignment horizontal="center"/>
    </xf>
    <xf numFmtId="0" fontId="9" fillId="18" borderId="51" xfId="0" applyFont="1" applyFill="1" applyBorder="1"/>
    <xf numFmtId="0" fontId="0" fillId="18" borderId="52" xfId="0" applyFill="1" applyBorder="1" applyAlignment="1">
      <alignment horizontal="center" vertical="center"/>
    </xf>
    <xf numFmtId="0" fontId="9" fillId="7" borderId="13" xfId="0" quotePrefix="1" applyFont="1" applyFill="1" applyBorder="1" applyAlignment="1">
      <alignment horizontal="center"/>
    </xf>
    <xf numFmtId="0" fontId="0" fillId="7" borderId="14" xfId="0" applyFill="1" applyBorder="1" applyAlignment="1">
      <alignment horizontal="center"/>
    </xf>
    <xf numFmtId="0" fontId="0" fillId="7" borderId="15" xfId="0" applyFill="1" applyBorder="1" applyAlignment="1">
      <alignment horizontal="center"/>
    </xf>
    <xf numFmtId="0" fontId="0" fillId="0" borderId="9" xfId="0" applyBorder="1" applyAlignment="1">
      <alignment horizontal="center"/>
    </xf>
    <xf numFmtId="0" fontId="0" fillId="12" borderId="86" xfId="0" applyNumberFormat="1" applyFill="1" applyBorder="1" applyAlignment="1"/>
    <xf numFmtId="0" fontId="0" fillId="3" borderId="86" xfId="0" applyNumberFormat="1" applyFill="1" applyBorder="1" applyAlignment="1"/>
    <xf numFmtId="0" fontId="0" fillId="3" borderId="81" xfId="0" applyNumberFormat="1" applyFill="1" applyBorder="1" applyAlignment="1"/>
    <xf numFmtId="0" fontId="0" fillId="5" borderId="86" xfId="0" applyNumberFormat="1" applyFill="1" applyBorder="1" applyAlignment="1"/>
    <xf numFmtId="0" fontId="0" fillId="5" borderId="81" xfId="0" applyNumberFormat="1" applyFill="1" applyBorder="1" applyAlignment="1"/>
    <xf numFmtId="0" fontId="9" fillId="0" borderId="0" xfId="0" applyFont="1" applyBorder="1" applyAlignment="1">
      <alignment horizontal="center"/>
    </xf>
    <xf numFmtId="1" fontId="29" fillId="0" borderId="5" xfId="0" applyNumberFormat="1" applyFont="1" applyBorder="1" applyAlignment="1">
      <alignment horizontal="center"/>
    </xf>
    <xf numFmtId="1" fontId="29" fillId="0" borderId="0" xfId="0" applyNumberFormat="1" applyFont="1" applyBorder="1" applyAlignment="1">
      <alignment horizontal="right"/>
    </xf>
    <xf numFmtId="0" fontId="0" fillId="0" borderId="0" xfId="0" applyBorder="1" applyAlignment="1">
      <alignment horizontal="center"/>
    </xf>
    <xf numFmtId="1" fontId="29" fillId="0" borderId="0" xfId="0" applyNumberFormat="1" applyFont="1" applyBorder="1" applyAlignment="1">
      <alignment horizontal="left"/>
    </xf>
    <xf numFmtId="1" fontId="29" fillId="0" borderId="53" xfId="0" applyNumberFormat="1" applyFont="1" applyBorder="1" applyAlignment="1">
      <alignment horizontal="left"/>
    </xf>
    <xf numFmtId="1" fontId="29" fillId="0" borderId="0" xfId="0" applyNumberFormat="1" applyFont="1" applyBorder="1" applyAlignment="1">
      <alignment horizontal="center"/>
    </xf>
    <xf numFmtId="1" fontId="29" fillId="0" borderId="53" xfId="0" applyNumberFormat="1" applyFont="1" applyBorder="1" applyAlignment="1">
      <alignment horizontal="center"/>
    </xf>
    <xf numFmtId="1" fontId="29" fillId="0" borderId="6" xfId="0" applyNumberFormat="1" applyFont="1" applyBorder="1" applyAlignment="1">
      <alignment horizontal="right"/>
    </xf>
    <xf numFmtId="0" fontId="0" fillId="0" borderId="0" xfId="0" applyBorder="1" applyAlignment="1">
      <alignment horizontal="center" vertical="top"/>
    </xf>
    <xf numFmtId="0" fontId="9" fillId="0" borderId="53" xfId="0" applyFont="1" applyBorder="1" applyAlignment="1">
      <alignment horizontal="center"/>
    </xf>
    <xf numFmtId="0" fontId="0" fillId="15" borderId="48" xfId="0" applyFont="1" applyFill="1" applyBorder="1" applyAlignment="1">
      <alignment horizontal="center"/>
    </xf>
    <xf numFmtId="0" fontId="0" fillId="7" borderId="68" xfId="0" applyFill="1" applyBorder="1" applyAlignment="1">
      <alignment horizontal="center"/>
    </xf>
    <xf numFmtId="0" fontId="0" fillId="12" borderId="58" xfId="0" applyFill="1" applyBorder="1" applyAlignment="1">
      <alignment horizontal="center"/>
    </xf>
    <xf numFmtId="0" fontId="0" fillId="12" borderId="87" xfId="0" applyFill="1" applyBorder="1" applyAlignment="1">
      <alignment horizontal="center"/>
    </xf>
    <xf numFmtId="0" fontId="0" fillId="8" borderId="2" xfId="0" applyFill="1" applyBorder="1" applyAlignment="1">
      <alignment horizontal="center"/>
    </xf>
    <xf numFmtId="0" fontId="0" fillId="0" borderId="48" xfId="0" applyBorder="1" applyAlignment="1">
      <alignment horizontal="center" vertical="center"/>
    </xf>
    <xf numFmtId="0" fontId="0" fillId="0" borderId="50" xfId="0" applyBorder="1" applyAlignment="1">
      <alignment horizontal="center"/>
    </xf>
    <xf numFmtId="0" fontId="0" fillId="3" borderId="48" xfId="0" applyFill="1" applyBorder="1" applyAlignment="1">
      <alignment horizontal="center" vertical="center"/>
    </xf>
    <xf numFmtId="0" fontId="0" fillId="0" borderId="50" xfId="0" applyBorder="1" applyAlignment="1">
      <alignment horizontal="center" vertical="center"/>
    </xf>
    <xf numFmtId="0" fontId="0" fillId="3" borderId="50" xfId="0" applyFill="1" applyBorder="1" applyAlignment="1">
      <alignment horizontal="center" vertical="center"/>
    </xf>
    <xf numFmtId="0" fontId="0" fillId="18" borderId="57" xfId="0" applyFill="1" applyBorder="1" applyAlignment="1">
      <alignment horizontal="center"/>
    </xf>
    <xf numFmtId="0" fontId="0" fillId="18" borderId="83" xfId="0" applyFill="1" applyBorder="1" applyAlignment="1">
      <alignment horizontal="center"/>
    </xf>
    <xf numFmtId="0" fontId="0" fillId="10" borderId="65" xfId="0" applyFill="1" applyBorder="1" applyAlignment="1">
      <alignment horizontal="center"/>
    </xf>
    <xf numFmtId="0" fontId="0" fillId="6" borderId="54" xfId="0" applyFill="1" applyBorder="1" applyAlignment="1">
      <alignment horizontal="center"/>
    </xf>
    <xf numFmtId="0" fontId="0" fillId="3" borderId="65" xfId="0" applyFill="1" applyBorder="1" applyAlignment="1">
      <alignment horizontal="center"/>
    </xf>
    <xf numFmtId="0" fontId="0" fillId="3" borderId="68" xfId="0" applyFill="1" applyBorder="1" applyAlignment="1">
      <alignment horizontal="center"/>
    </xf>
    <xf numFmtId="0" fontId="0" fillId="5" borderId="63" xfId="0" applyFill="1" applyBorder="1" applyAlignment="1">
      <alignment horizontal="center"/>
    </xf>
    <xf numFmtId="0" fontId="0" fillId="5" borderId="64" xfId="0" applyFill="1" applyBorder="1" applyAlignment="1">
      <alignment horizontal="center"/>
    </xf>
    <xf numFmtId="0" fontId="0" fillId="14" borderId="54" xfId="0" applyFill="1" applyBorder="1" applyAlignment="1">
      <alignment horizontal="center"/>
    </xf>
    <xf numFmtId="0" fontId="0" fillId="18" borderId="54" xfId="0" applyFill="1" applyBorder="1" applyAlignment="1">
      <alignment horizontal="center"/>
    </xf>
    <xf numFmtId="0" fontId="0" fillId="0" borderId="13" xfId="0" applyFont="1" applyBorder="1"/>
    <xf numFmtId="0" fontId="0" fillId="0" borderId="14" xfId="0" applyFont="1" applyBorder="1"/>
    <xf numFmtId="0" fontId="9" fillId="0" borderId="0" xfId="0" applyFont="1" applyAlignment="1">
      <alignment horizontal="center" vertical="center"/>
    </xf>
    <xf numFmtId="0" fontId="9" fillId="0" borderId="0" xfId="0" applyNumberFormat="1" applyFont="1" applyAlignment="1">
      <alignment horizontal="center" vertical="center"/>
    </xf>
    <xf numFmtId="0" fontId="0" fillId="0" borderId="58" xfId="0" applyFill="1" applyBorder="1" applyAlignment="1">
      <alignment horizontal="center" vertical="center"/>
    </xf>
    <xf numFmtId="0" fontId="9" fillId="0" borderId="87" xfId="0" applyFont="1" applyBorder="1" applyAlignment="1">
      <alignment horizontal="center" vertical="center"/>
    </xf>
    <xf numFmtId="0" fontId="9" fillId="0" borderId="65" xfId="0" applyFont="1" applyBorder="1" applyAlignment="1">
      <alignment horizontal="center" vertical="center"/>
    </xf>
    <xf numFmtId="0" fontId="9" fillId="0" borderId="64" xfId="0" applyFont="1" applyBorder="1" applyAlignment="1">
      <alignment horizontal="center"/>
    </xf>
    <xf numFmtId="0" fontId="0" fillId="9" borderId="63" xfId="0" applyFill="1" applyBorder="1" applyAlignment="1">
      <alignment horizontal="center"/>
    </xf>
    <xf numFmtId="0" fontId="0" fillId="9" borderId="64" xfId="0" applyFill="1" applyBorder="1" applyAlignment="1">
      <alignment horizontal="center"/>
    </xf>
    <xf numFmtId="0" fontId="0" fillId="16" borderId="63" xfId="0" applyFill="1" applyBorder="1" applyAlignment="1">
      <alignment horizontal="center"/>
    </xf>
    <xf numFmtId="0" fontId="0" fillId="16" borderId="64" xfId="0" applyNumberFormat="1" applyFill="1" applyBorder="1" applyAlignment="1">
      <alignment horizontal="center"/>
    </xf>
    <xf numFmtId="0" fontId="3" fillId="0" borderId="1" xfId="0" applyFont="1" applyBorder="1" applyAlignment="1"/>
    <xf numFmtId="0" fontId="0" fillId="0" borderId="0" xfId="0" applyAlignment="1">
      <alignment horizontal="center"/>
    </xf>
    <xf numFmtId="0" fontId="0" fillId="0" borderId="0" xfId="0" applyNumberFormat="1" applyAlignment="1">
      <alignment horizontal="center"/>
    </xf>
    <xf numFmtId="0" fontId="0" fillId="0" borderId="52" xfId="0" applyNumberFormat="1" applyFont="1" applyBorder="1" applyAlignment="1">
      <alignment horizontal="center"/>
    </xf>
    <xf numFmtId="0" fontId="0" fillId="0" borderId="15" xfId="0" applyNumberFormat="1" applyFont="1" applyBorder="1" applyAlignment="1">
      <alignment horizontal="center"/>
    </xf>
    <xf numFmtId="0" fontId="0" fillId="0" borderId="54" xfId="0" applyBorder="1" applyAlignment="1">
      <alignment horizontal="center"/>
    </xf>
    <xf numFmtId="0" fontId="0" fillId="0" borderId="54" xfId="0" applyNumberFormat="1" applyBorder="1" applyAlignment="1">
      <alignment horizontal="center"/>
    </xf>
    <xf numFmtId="0" fontId="0" fillId="5" borderId="81" xfId="0" applyNumberFormat="1" applyFill="1" applyBorder="1" applyAlignment="1">
      <alignment horizontal="right"/>
    </xf>
    <xf numFmtId="0" fontId="0" fillId="12" borderId="56" xfId="0" applyNumberFormat="1" applyFill="1" applyBorder="1" applyAlignment="1">
      <alignment horizontal="center"/>
    </xf>
    <xf numFmtId="0" fontId="0" fillId="12" borderId="81" xfId="0" applyNumberFormat="1" applyFill="1" applyBorder="1" applyAlignment="1">
      <alignment horizontal="right"/>
    </xf>
    <xf numFmtId="0" fontId="30" fillId="0" borderId="63" xfId="0" applyFont="1" applyBorder="1"/>
    <xf numFmtId="0" fontId="1" fillId="2" borderId="0" xfId="1"/>
    <xf numFmtId="0" fontId="9" fillId="0" borderId="12" xfId="0" applyFont="1" applyFill="1" applyBorder="1" applyAlignment="1">
      <alignment horizontal="center"/>
    </xf>
    <xf numFmtId="0" fontId="9" fillId="0" borderId="57" xfId="0" applyFont="1" applyFill="1" applyBorder="1" applyAlignment="1">
      <alignment horizontal="center" vertical="center"/>
    </xf>
    <xf numFmtId="0" fontId="9" fillId="0" borderId="59" xfId="0" applyFont="1" applyFill="1" applyBorder="1" applyAlignment="1">
      <alignment horizontal="center" vertical="center"/>
    </xf>
    <xf numFmtId="0" fontId="9" fillId="0" borderId="66" xfId="0" applyFont="1" applyFill="1" applyBorder="1" applyAlignment="1">
      <alignment horizontal="center" vertical="center"/>
    </xf>
    <xf numFmtId="0" fontId="0" fillId="0" borderId="9" xfId="0" applyBorder="1" applyAlignment="1">
      <alignment horizontal="center"/>
    </xf>
    <xf numFmtId="0" fontId="0" fillId="0" borderId="29" xfId="0" applyBorder="1"/>
    <xf numFmtId="0" fontId="0" fillId="0" borderId="72" xfId="0" applyBorder="1"/>
    <xf numFmtId="0" fontId="0" fillId="0" borderId="32" xfId="0" applyBorder="1"/>
    <xf numFmtId="0" fontId="0" fillId="0" borderId="73" xfId="0" applyBorder="1"/>
    <xf numFmtId="0" fontId="0" fillId="0" borderId="71" xfId="0" applyBorder="1"/>
    <xf numFmtId="0" fontId="0" fillId="0" borderId="33" xfId="0" applyBorder="1"/>
    <xf numFmtId="0" fontId="0" fillId="0" borderId="16" xfId="0" applyBorder="1"/>
    <xf numFmtId="0" fontId="30" fillId="0" borderId="24" xfId="0" applyFont="1" applyBorder="1"/>
    <xf numFmtId="0" fontId="9" fillId="0" borderId="88" xfId="0" applyFont="1" applyBorder="1" applyAlignment="1">
      <alignment horizontal="center"/>
    </xf>
    <xf numFmtId="0" fontId="30" fillId="0" borderId="9" xfId="0" applyFont="1" applyFill="1" applyBorder="1"/>
    <xf numFmtId="0" fontId="30" fillId="0" borderId="9" xfId="0" applyFont="1" applyBorder="1" applyAlignment="1">
      <alignment horizontal="center"/>
    </xf>
    <xf numFmtId="0" fontId="0" fillId="0" borderId="0" xfId="0" applyAlignment="1">
      <alignment horizontal="center"/>
    </xf>
    <xf numFmtId="0" fontId="32" fillId="0" borderId="0" xfId="0" applyFont="1" applyAlignment="1">
      <alignment vertical="center"/>
    </xf>
    <xf numFmtId="0" fontId="33" fillId="0" borderId="0" xfId="0" applyFont="1" applyAlignment="1">
      <alignment horizontal="center"/>
    </xf>
    <xf numFmtId="0" fontId="34" fillId="0" borderId="0" xfId="0" applyFont="1" applyAlignment="1">
      <alignment horizontal="center"/>
    </xf>
    <xf numFmtId="0" fontId="33" fillId="0" borderId="0" xfId="0" applyFont="1" applyAlignment="1"/>
    <xf numFmtId="0" fontId="22" fillId="0" borderId="0" xfId="0" applyFont="1"/>
    <xf numFmtId="0" fontId="35" fillId="2" borderId="0" xfId="1" applyFont="1" applyBorder="1"/>
    <xf numFmtId="0" fontId="36" fillId="0" borderId="0" xfId="0" applyFont="1"/>
    <xf numFmtId="172" fontId="37" fillId="0" borderId="0" xfId="3" applyNumberFormat="1" applyFont="1"/>
    <xf numFmtId="0" fontId="36" fillId="0" borderId="0" xfId="0" quotePrefix="1" applyFont="1"/>
    <xf numFmtId="0" fontId="37" fillId="0" borderId="0" xfId="0" applyFont="1" applyAlignment="1">
      <alignment horizontal="center"/>
    </xf>
    <xf numFmtId="0" fontId="36" fillId="0" borderId="0" xfId="0" applyFont="1" applyAlignment="1">
      <alignment vertical="center"/>
    </xf>
    <xf numFmtId="0" fontId="35" fillId="2" borderId="7" xfId="1" applyFont="1" applyBorder="1"/>
    <xf numFmtId="0" fontId="35" fillId="2" borderId="5" xfId="1" applyFont="1" applyBorder="1"/>
    <xf numFmtId="0" fontId="35" fillId="2" borderId="18" xfId="1" applyFont="1" applyBorder="1"/>
    <xf numFmtId="0" fontId="35" fillId="2" borderId="6" xfId="1" applyFont="1" applyBorder="1"/>
    <xf numFmtId="0" fontId="35" fillId="2" borderId="53" xfId="1" applyFont="1" applyBorder="1"/>
    <xf numFmtId="0" fontId="35" fillId="2" borderId="8" xfId="1" applyFont="1" applyBorder="1"/>
    <xf numFmtId="0" fontId="35" fillId="2" borderId="36" xfId="1" applyFont="1" applyBorder="1"/>
    <xf numFmtId="0" fontId="35" fillId="2" borderId="19" xfId="1" applyFont="1" applyBorder="1"/>
    <xf numFmtId="0" fontId="30" fillId="7" borderId="5" xfId="0" applyFont="1" applyFill="1" applyBorder="1"/>
    <xf numFmtId="0" fontId="30" fillId="7" borderId="6" xfId="0" applyFont="1" applyFill="1" applyBorder="1"/>
    <xf numFmtId="0" fontId="30" fillId="7" borderId="53" xfId="0" applyFont="1" applyFill="1" applyBorder="1"/>
    <xf numFmtId="0" fontId="30" fillId="7" borderId="36" xfId="0" applyFont="1" applyFill="1" applyBorder="1"/>
    <xf numFmtId="0" fontId="30" fillId="7" borderId="54" xfId="0" applyFont="1" applyFill="1" applyBorder="1" applyAlignment="1">
      <alignment horizontal="center"/>
    </xf>
    <xf numFmtId="0" fontId="30" fillId="17" borderId="5" xfId="0" applyFont="1" applyFill="1" applyBorder="1"/>
    <xf numFmtId="0" fontId="30" fillId="17" borderId="6" xfId="0" applyFont="1" applyFill="1" applyBorder="1"/>
    <xf numFmtId="0" fontId="30" fillId="17" borderId="53" xfId="0" applyFont="1" applyFill="1" applyBorder="1"/>
    <xf numFmtId="0" fontId="30" fillId="17" borderId="36" xfId="0" applyFont="1" applyFill="1" applyBorder="1"/>
    <xf numFmtId="0" fontId="30" fillId="17" borderId="54" xfId="0" applyFont="1" applyFill="1" applyBorder="1" applyAlignment="1">
      <alignment horizontal="center"/>
    </xf>
    <xf numFmtId="0" fontId="30" fillId="25" borderId="5" xfId="0" applyFont="1" applyFill="1" applyBorder="1"/>
    <xf numFmtId="0" fontId="30" fillId="25" borderId="6" xfId="0" applyFont="1" applyFill="1" applyBorder="1"/>
    <xf numFmtId="0" fontId="30" fillId="25" borderId="53" xfId="0" applyFont="1" applyFill="1" applyBorder="1"/>
    <xf numFmtId="0" fontId="30" fillId="25" borderId="36" xfId="0" applyFont="1" applyFill="1" applyBorder="1"/>
    <xf numFmtId="0" fontId="30" fillId="25" borderId="54" xfId="0" applyFont="1" applyFill="1" applyBorder="1" applyAlignment="1">
      <alignment horizontal="center"/>
    </xf>
    <xf numFmtId="0" fontId="30" fillId="4" borderId="54" xfId="0" applyFont="1" applyFill="1" applyBorder="1" applyAlignment="1">
      <alignment horizontal="center"/>
    </xf>
    <xf numFmtId="0" fontId="30" fillId="34" borderId="54" xfId="0" applyFont="1" applyFill="1" applyBorder="1" applyAlignment="1">
      <alignment horizontal="center"/>
    </xf>
    <xf numFmtId="0" fontId="30" fillId="20" borderId="54" xfId="0" applyFont="1" applyFill="1" applyBorder="1" applyAlignment="1">
      <alignment horizontal="center"/>
    </xf>
    <xf numFmtId="0" fontId="30" fillId="35" borderId="54" xfId="0" applyFont="1" applyFill="1" applyBorder="1" applyAlignment="1">
      <alignment horizontal="center"/>
    </xf>
    <xf numFmtId="0" fontId="30" fillId="34" borderId="20" xfId="0" applyFont="1" applyFill="1" applyBorder="1" applyAlignment="1">
      <alignment horizontal="center"/>
    </xf>
    <xf numFmtId="0" fontId="30" fillId="34" borderId="21" xfId="0" applyFont="1" applyFill="1" applyBorder="1" applyAlignment="1">
      <alignment horizontal="center"/>
    </xf>
    <xf numFmtId="0" fontId="30" fillId="34" borderId="2" xfId="0" applyFont="1" applyFill="1" applyBorder="1" applyAlignment="1">
      <alignment horizontal="center"/>
    </xf>
    <xf numFmtId="0" fontId="30" fillId="34" borderId="3" xfId="0" applyFont="1" applyFill="1" applyBorder="1" applyAlignment="1">
      <alignment horizontal="center"/>
    </xf>
    <xf numFmtId="0" fontId="30" fillId="4" borderId="5" xfId="0" applyFont="1" applyFill="1" applyBorder="1"/>
    <xf numFmtId="0" fontId="30" fillId="4" borderId="6" xfId="0" applyFont="1" applyFill="1" applyBorder="1"/>
    <xf numFmtId="0" fontId="30" fillId="4" borderId="53" xfId="0" applyFont="1" applyFill="1" applyBorder="1"/>
    <xf numFmtId="0" fontId="30" fillId="4" borderId="36" xfId="0" applyFont="1" applyFill="1" applyBorder="1"/>
    <xf numFmtId="0" fontId="30" fillId="20" borderId="20" xfId="0" applyFont="1" applyFill="1" applyBorder="1" applyAlignment="1">
      <alignment horizontal="center"/>
    </xf>
    <xf numFmtId="0" fontId="30" fillId="20" borderId="21" xfId="0" applyFont="1" applyFill="1" applyBorder="1" applyAlignment="1">
      <alignment horizontal="center"/>
    </xf>
    <xf numFmtId="0" fontId="30" fillId="20" borderId="2" xfId="0" applyFont="1" applyFill="1" applyBorder="1" applyAlignment="1">
      <alignment horizontal="center"/>
    </xf>
    <xf numFmtId="0" fontId="30" fillId="20" borderId="3" xfId="0" applyFont="1" applyFill="1" applyBorder="1" applyAlignment="1">
      <alignment horizontal="center"/>
    </xf>
    <xf numFmtId="0" fontId="30" fillId="34" borderId="5" xfId="0" applyFont="1" applyFill="1" applyBorder="1"/>
    <xf numFmtId="0" fontId="30" fillId="34" borderId="6" xfId="0" applyFont="1" applyFill="1" applyBorder="1"/>
    <xf numFmtId="0" fontId="30" fillId="34" borderId="53" xfId="0" applyFont="1" applyFill="1" applyBorder="1"/>
    <xf numFmtId="0" fontId="30" fillId="34" borderId="36" xfId="0" applyFont="1" applyFill="1" applyBorder="1"/>
    <xf numFmtId="0" fontId="30" fillId="35" borderId="20" xfId="0" applyFont="1" applyFill="1" applyBorder="1" applyAlignment="1">
      <alignment horizontal="center"/>
    </xf>
    <xf numFmtId="0" fontId="30" fillId="35" borderId="21" xfId="0" applyFont="1" applyFill="1" applyBorder="1" applyAlignment="1">
      <alignment horizontal="center"/>
    </xf>
    <xf numFmtId="0" fontId="30" fillId="35" borderId="2" xfId="0" applyFont="1" applyFill="1" applyBorder="1" applyAlignment="1">
      <alignment horizontal="center"/>
    </xf>
    <xf numFmtId="0" fontId="30" fillId="35" borderId="3" xfId="0" applyFont="1" applyFill="1" applyBorder="1" applyAlignment="1">
      <alignment horizontal="center"/>
    </xf>
    <xf numFmtId="0" fontId="30" fillId="20" borderId="5" xfId="0" applyFont="1" applyFill="1" applyBorder="1"/>
    <xf numFmtId="0" fontId="30" fillId="20" borderId="6" xfId="0" applyFont="1" applyFill="1" applyBorder="1"/>
    <xf numFmtId="0" fontId="30" fillId="20" borderId="53" xfId="0" applyFont="1" applyFill="1" applyBorder="1"/>
    <xf numFmtId="0" fontId="30" fillId="20" borderId="36" xfId="0" applyFont="1" applyFill="1" applyBorder="1"/>
    <xf numFmtId="0" fontId="30" fillId="35" borderId="5" xfId="0" applyFont="1" applyFill="1" applyBorder="1"/>
    <xf numFmtId="0" fontId="30" fillId="35" borderId="6" xfId="0" applyFont="1" applyFill="1" applyBorder="1"/>
    <xf numFmtId="0" fontId="30" fillId="35" borderId="53" xfId="0" applyFont="1" applyFill="1" applyBorder="1"/>
    <xf numFmtId="0" fontId="30" fillId="35" borderId="36" xfId="0" applyFont="1" applyFill="1" applyBorder="1"/>
    <xf numFmtId="0" fontId="36" fillId="35" borderId="3" xfId="0" applyFont="1" applyFill="1" applyBorder="1" applyAlignment="1">
      <alignment horizontal="center" vertical="center"/>
    </xf>
    <xf numFmtId="0" fontId="36" fillId="7" borderId="54" xfId="0" applyFont="1" applyFill="1" applyBorder="1" applyAlignment="1">
      <alignment horizontal="center" vertical="center"/>
    </xf>
    <xf numFmtId="0" fontId="36" fillId="17" borderId="54" xfId="0" applyFont="1" applyFill="1" applyBorder="1" applyAlignment="1">
      <alignment horizontal="center" vertical="center"/>
    </xf>
    <xf numFmtId="0" fontId="36" fillId="25" borderId="54" xfId="0" applyFont="1" applyFill="1" applyBorder="1" applyAlignment="1">
      <alignment horizontal="center" vertical="center"/>
    </xf>
    <xf numFmtId="0" fontId="36" fillId="4" borderId="54" xfId="0" applyFont="1" applyFill="1" applyBorder="1" applyAlignment="1">
      <alignment horizontal="center" vertical="center"/>
    </xf>
    <xf numFmtId="0" fontId="36" fillId="34" borderId="54" xfId="0" applyFont="1" applyFill="1" applyBorder="1" applyAlignment="1">
      <alignment horizontal="center" vertical="center"/>
    </xf>
    <xf numFmtId="0" fontId="36" fillId="20" borderId="54" xfId="0" applyFont="1" applyFill="1" applyBorder="1" applyAlignment="1">
      <alignment horizontal="center" vertical="center"/>
    </xf>
    <xf numFmtId="0" fontId="36" fillId="36" borderId="54" xfId="0" applyFont="1" applyFill="1" applyBorder="1"/>
    <xf numFmtId="0" fontId="16" fillId="26" borderId="57" xfId="1" applyFont="1" applyFill="1" applyBorder="1"/>
    <xf numFmtId="0" fontId="16" fillId="26" borderId="81" xfId="1" applyFont="1" applyFill="1" applyBorder="1"/>
    <xf numFmtId="0" fontId="16" fillId="26" borderId="83" xfId="1" applyFont="1" applyFill="1" applyBorder="1"/>
    <xf numFmtId="168" fontId="0" fillId="0" borderId="0" xfId="0" applyNumberFormat="1"/>
    <xf numFmtId="0" fontId="9" fillId="0" borderId="51" xfId="0" applyFont="1" applyFill="1" applyBorder="1" applyAlignment="1">
      <alignment horizontal="center" vertical="center"/>
    </xf>
    <xf numFmtId="0" fontId="9" fillId="0" borderId="52" xfId="3" applyNumberFormat="1" applyFont="1" applyBorder="1" applyAlignment="1">
      <alignment horizontal="left"/>
    </xf>
    <xf numFmtId="0" fontId="30" fillId="0" borderId="51" xfId="0" applyFont="1" applyBorder="1"/>
    <xf numFmtId="0" fontId="30" fillId="0" borderId="52" xfId="0" applyFont="1" applyBorder="1" applyAlignment="1">
      <alignment horizontal="left"/>
    </xf>
    <xf numFmtId="0" fontId="30" fillId="0" borderId="51" xfId="0" applyFont="1" applyBorder="1" applyAlignment="1">
      <alignment horizontal="right"/>
    </xf>
    <xf numFmtId="0" fontId="30" fillId="0" borderId="13" xfId="0" applyFont="1" applyBorder="1" applyAlignment="1">
      <alignment horizontal="right"/>
    </xf>
    <xf numFmtId="0" fontId="30" fillId="0" borderId="15" xfId="0" applyFont="1" applyBorder="1"/>
    <xf numFmtId="0" fontId="30" fillId="0" borderId="48" xfId="0" applyFont="1" applyBorder="1"/>
    <xf numFmtId="0" fontId="30" fillId="0" borderId="49" xfId="0" applyFont="1" applyBorder="1" applyAlignment="1">
      <alignment horizontal="center"/>
    </xf>
    <xf numFmtId="0" fontId="0" fillId="0" borderId="49" xfId="0" applyBorder="1"/>
    <xf numFmtId="0" fontId="0" fillId="0" borderId="50" xfId="0" applyBorder="1"/>
    <xf numFmtId="0" fontId="0" fillId="0" borderId="66" xfId="0" applyBorder="1" applyAlignment="1">
      <alignment horizontal="center"/>
    </xf>
    <xf numFmtId="0" fontId="30" fillId="0" borderId="48" xfId="0" applyFont="1" applyBorder="1" applyAlignment="1">
      <alignment horizontal="center"/>
    </xf>
    <xf numFmtId="0" fontId="0" fillId="0" borderId="3" xfId="0" applyBorder="1" applyAlignment="1">
      <alignment horizontal="center"/>
    </xf>
    <xf numFmtId="0" fontId="0" fillId="0" borderId="68" xfId="0" applyBorder="1" applyAlignment="1">
      <alignment horizontal="center"/>
    </xf>
    <xf numFmtId="0" fontId="0" fillId="0" borderId="65" xfId="0" applyBorder="1" applyAlignment="1">
      <alignment horizontal="center"/>
    </xf>
    <xf numFmtId="49" fontId="38" fillId="0" borderId="0" xfId="0" applyNumberFormat="1" applyFont="1" applyAlignment="1">
      <alignment horizontal="center" vertical="center" wrapText="1"/>
    </xf>
    <xf numFmtId="49" fontId="39" fillId="0" borderId="0" xfId="0" applyNumberFormat="1" applyFont="1" applyAlignment="1">
      <alignment horizontal="center" vertical="center" wrapText="1"/>
    </xf>
    <xf numFmtId="0" fontId="39" fillId="0" borderId="0" xfId="0" applyFont="1" applyAlignment="1">
      <alignment horizontal="center" vertical="center"/>
    </xf>
    <xf numFmtId="0" fontId="40" fillId="0" borderId="0" xfId="0" applyFont="1" applyAlignment="1">
      <alignment horizontal="center" vertical="center"/>
    </xf>
    <xf numFmtId="0" fontId="41" fillId="0" borderId="0" xfId="0" applyFont="1" applyAlignment="1">
      <alignment horizontal="center" vertical="center" wrapText="1"/>
    </xf>
    <xf numFmtId="49" fontId="42" fillId="0" borderId="0" xfId="0" applyNumberFormat="1" applyFont="1" applyAlignment="1">
      <alignment horizontal="left" vertical="top" wrapText="1"/>
    </xf>
    <xf numFmtId="49" fontId="42" fillId="0" borderId="0" xfId="0" applyNumberFormat="1" applyFont="1" applyAlignment="1">
      <alignment horizontal="left" vertical="center" wrapText="1"/>
    </xf>
    <xf numFmtId="0" fontId="42" fillId="0" borderId="0" xfId="0" applyFont="1"/>
    <xf numFmtId="0" fontId="43" fillId="0" borderId="0" xfId="0" applyFont="1"/>
    <xf numFmtId="0" fontId="44" fillId="0" borderId="0" xfId="0" applyFont="1" applyAlignment="1">
      <alignment horizontal="left" vertical="top" wrapText="1"/>
    </xf>
    <xf numFmtId="0" fontId="42" fillId="0" borderId="0" xfId="0" applyFont="1" applyAlignment="1">
      <alignment horizontal="left"/>
    </xf>
    <xf numFmtId="0" fontId="43" fillId="0" borderId="0" xfId="0" applyFont="1" applyAlignment="1">
      <alignment horizontal="left"/>
    </xf>
    <xf numFmtId="0" fontId="44" fillId="0" borderId="0" xfId="0" applyFont="1" applyAlignment="1">
      <alignment horizontal="left" vertical="top"/>
    </xf>
    <xf numFmtId="49" fontId="45" fillId="0" borderId="0" xfId="0" applyNumberFormat="1" applyFont="1" applyAlignment="1">
      <alignment horizontal="center" vertical="center" wrapText="1"/>
    </xf>
    <xf numFmtId="0" fontId="46" fillId="0" borderId="0" xfId="0" applyFont="1"/>
    <xf numFmtId="0" fontId="47" fillId="0" borderId="0" xfId="0" applyFont="1" applyAlignment="1">
      <alignment horizontal="center" vertical="center" wrapText="1"/>
    </xf>
    <xf numFmtId="0" fontId="42" fillId="0" borderId="0" xfId="0" applyFont="1" applyAlignment="1">
      <alignment horizontal="left" vertical="top" wrapText="1"/>
    </xf>
    <xf numFmtId="49" fontId="42" fillId="0" borderId="0" xfId="0" applyNumberFormat="1" applyFont="1" applyAlignment="1">
      <alignmen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wrapText="1"/>
    </xf>
    <xf numFmtId="0" fontId="48" fillId="0" borderId="0" xfId="0" applyFont="1"/>
    <xf numFmtId="0" fontId="48" fillId="0" borderId="0" xfId="0" quotePrefix="1" applyFont="1"/>
    <xf numFmtId="0" fontId="48" fillId="0" borderId="0" xfId="0" applyNumberFormat="1" applyFont="1"/>
    <xf numFmtId="0" fontId="48" fillId="0" borderId="5" xfId="0" applyFont="1" applyBorder="1"/>
    <xf numFmtId="0" fontId="48" fillId="0" borderId="11" xfId="0" applyNumberFormat="1" applyFont="1" applyBorder="1" applyAlignment="1">
      <alignment horizontal="left"/>
    </xf>
    <xf numFmtId="0" fontId="48" fillId="0" borderId="14" xfId="0" applyNumberFormat="1" applyFont="1" applyBorder="1" applyAlignment="1">
      <alignment horizontal="left"/>
    </xf>
    <xf numFmtId="0" fontId="48" fillId="0" borderId="0" xfId="0" applyNumberFormat="1" applyFont="1" applyBorder="1" applyAlignment="1">
      <alignment horizontal="left"/>
    </xf>
    <xf numFmtId="0" fontId="48" fillId="0" borderId="0" xfId="0" applyFont="1" applyAlignment="1">
      <alignment horizontal="center"/>
    </xf>
    <xf numFmtId="0" fontId="49" fillId="0" borderId="0" xfId="0" applyFont="1" applyAlignment="1">
      <alignment horizontal="left" vertical="top" wrapText="1"/>
    </xf>
    <xf numFmtId="0" fontId="49" fillId="0" borderId="0" xfId="0" applyFont="1"/>
    <xf numFmtId="49" fontId="0" fillId="0" borderId="0" xfId="0" applyNumberFormat="1" applyAlignment="1">
      <alignment horizontal="left" vertical="top"/>
    </xf>
    <xf numFmtId="0" fontId="1" fillId="37" borderId="10" xfId="1" applyNumberFormat="1" applyFill="1" applyBorder="1"/>
    <xf numFmtId="0" fontId="1" fillId="37" borderId="51" xfId="1" applyNumberFormat="1" applyFill="1" applyBorder="1"/>
    <xf numFmtId="0" fontId="1" fillId="37" borderId="51" xfId="1" applyFill="1" applyBorder="1"/>
    <xf numFmtId="0" fontId="1" fillId="37" borderId="13" xfId="1" applyNumberFormat="1" applyFill="1" applyBorder="1"/>
    <xf numFmtId="0" fontId="1" fillId="37" borderId="10" xfId="1" applyNumberFormat="1" applyFill="1" applyBorder="1" applyAlignment="1">
      <alignment horizontal="left"/>
    </xf>
    <xf numFmtId="0" fontId="1" fillId="37" borderId="51" xfId="1" applyNumberFormat="1" applyFill="1" applyBorder="1" applyAlignment="1">
      <alignment horizontal="left"/>
    </xf>
    <xf numFmtId="0" fontId="1" fillId="37" borderId="51" xfId="1" applyFill="1" applyBorder="1" applyAlignment="1">
      <alignment horizontal="left"/>
    </xf>
    <xf numFmtId="0" fontId="1" fillId="37" borderId="51" xfId="1" applyNumberFormat="1" applyFill="1" applyBorder="1" applyAlignment="1">
      <alignment horizontal="right"/>
    </xf>
    <xf numFmtId="0" fontId="1" fillId="37" borderId="13" xfId="1" applyNumberFormat="1" applyFill="1" applyBorder="1" applyAlignment="1">
      <alignment horizontal="right"/>
    </xf>
    <xf numFmtId="0" fontId="1" fillId="37" borderId="57" xfId="1" applyFill="1" applyBorder="1"/>
    <xf numFmtId="0" fontId="1" fillId="37" borderId="81" xfId="1" applyFill="1" applyBorder="1"/>
    <xf numFmtId="0" fontId="1" fillId="37" borderId="83" xfId="1" applyFill="1" applyBorder="1"/>
    <xf numFmtId="0" fontId="1" fillId="37" borderId="68" xfId="1" applyFill="1" applyBorder="1"/>
    <xf numFmtId="0" fontId="1" fillId="37" borderId="49" xfId="1" applyFill="1" applyBorder="1"/>
    <xf numFmtId="0" fontId="1" fillId="37" borderId="50" xfId="1" applyFill="1" applyBorder="1"/>
    <xf numFmtId="0" fontId="1" fillId="37" borderId="48" xfId="1" applyFill="1" applyBorder="1"/>
    <xf numFmtId="0" fontId="1" fillId="37" borderId="54" xfId="1" applyFill="1" applyBorder="1"/>
    <xf numFmtId="0" fontId="1" fillId="37" borderId="48" xfId="1" applyNumberFormat="1" applyFill="1" applyBorder="1"/>
    <xf numFmtId="0" fontId="1" fillId="37" borderId="12" xfId="1" applyNumberFormat="1" applyFill="1" applyBorder="1"/>
    <xf numFmtId="0" fontId="1" fillId="37" borderId="52" xfId="1" applyNumberFormat="1" applyFill="1" applyBorder="1"/>
    <xf numFmtId="0" fontId="1" fillId="37" borderId="0" xfId="1" applyFill="1"/>
    <xf numFmtId="0" fontId="3" fillId="0" borderId="1" xfId="0" applyFont="1" applyBorder="1" applyAlignment="1">
      <alignment horizontal="center"/>
    </xf>
    <xf numFmtId="0" fontId="25" fillId="14" borderId="55" xfId="0" applyFont="1" applyFill="1" applyBorder="1" applyAlignment="1">
      <alignment horizontal="left"/>
    </xf>
    <xf numFmtId="0" fontId="25" fillId="14" borderId="56" xfId="0" applyFont="1" applyFill="1" applyBorder="1" applyAlignment="1">
      <alignment horizontal="left"/>
    </xf>
    <xf numFmtId="0" fontId="25" fillId="14" borderId="31" xfId="0" applyFont="1" applyFill="1" applyBorder="1" applyAlignment="1">
      <alignment horizontal="center" vertical="center" textRotation="90"/>
    </xf>
    <xf numFmtId="0" fontId="25" fillId="14" borderId="77" xfId="0" applyFont="1" applyFill="1" applyBorder="1" applyAlignment="1">
      <alignment horizontal="center" vertical="center" textRotation="90"/>
    </xf>
    <xf numFmtId="0" fontId="25" fillId="14" borderId="34" xfId="0" applyFont="1" applyFill="1" applyBorder="1" applyAlignment="1">
      <alignment horizontal="center" vertical="center" textRotation="90"/>
    </xf>
    <xf numFmtId="0" fontId="25" fillId="14" borderId="29" xfId="0" applyFont="1" applyFill="1" applyBorder="1" applyAlignment="1">
      <alignment horizontal="left"/>
    </xf>
    <xf numFmtId="0" fontId="25" fillId="14" borderId="32" xfId="0" applyFont="1" applyFill="1" applyBorder="1" applyAlignment="1">
      <alignment horizontal="left"/>
    </xf>
    <xf numFmtId="0" fontId="25" fillId="14" borderId="9" xfId="0" applyFont="1" applyFill="1" applyBorder="1" applyAlignment="1">
      <alignment horizontal="left"/>
    </xf>
    <xf numFmtId="0" fontId="25" fillId="14" borderId="30" xfId="0" applyFont="1" applyFill="1" applyBorder="1" applyAlignment="1">
      <alignment horizontal="center" vertical="center" textRotation="90" wrapText="1"/>
    </xf>
    <xf numFmtId="0" fontId="25" fillId="14" borderId="76" xfId="0" applyFont="1" applyFill="1" applyBorder="1" applyAlignment="1">
      <alignment horizontal="center" vertical="center" textRotation="90" wrapText="1"/>
    </xf>
    <xf numFmtId="0" fontId="25" fillId="14" borderId="35" xfId="0" applyFont="1" applyFill="1" applyBorder="1" applyAlignment="1">
      <alignment horizontal="center" vertical="center" textRotation="90" wrapText="1"/>
    </xf>
    <xf numFmtId="0" fontId="25" fillId="14" borderId="22" xfId="0" applyFont="1" applyFill="1" applyBorder="1" applyAlignment="1">
      <alignment vertical="center" textRotation="90" wrapText="1"/>
    </xf>
    <xf numFmtId="0" fontId="25" fillId="14" borderId="23" xfId="0" applyFont="1" applyFill="1" applyBorder="1" applyAlignment="1">
      <alignment vertical="center" textRotation="90"/>
    </xf>
    <xf numFmtId="0" fontId="25" fillId="14" borderId="27" xfId="0" applyFont="1" applyFill="1" applyBorder="1" applyAlignment="1">
      <alignment vertical="center" textRotation="90"/>
    </xf>
    <xf numFmtId="0" fontId="25" fillId="14" borderId="22" xfId="0" applyFont="1" applyFill="1" applyBorder="1" applyAlignment="1">
      <alignment horizontal="center" vertical="center" textRotation="90"/>
    </xf>
    <xf numFmtId="0" fontId="25" fillId="14" borderId="23" xfId="0" applyFont="1" applyFill="1" applyBorder="1" applyAlignment="1">
      <alignment horizontal="center" vertical="center" textRotation="90"/>
    </xf>
    <xf numFmtId="0" fontId="25" fillId="14" borderId="27" xfId="0" applyFont="1" applyFill="1" applyBorder="1" applyAlignment="1">
      <alignment horizontal="center" vertical="center" textRotation="90"/>
    </xf>
    <xf numFmtId="0" fontId="25" fillId="14" borderId="29" xfId="0" applyFont="1" applyFill="1" applyBorder="1" applyAlignment="1">
      <alignment horizontal="center" vertical="center" wrapText="1"/>
    </xf>
    <xf numFmtId="0" fontId="25" fillId="14" borderId="72" xfId="0" applyFont="1" applyFill="1" applyBorder="1" applyAlignment="1">
      <alignment horizontal="center" vertical="center" wrapText="1"/>
    </xf>
    <xf numFmtId="0" fontId="25" fillId="14" borderId="78" xfId="0" applyFont="1" applyFill="1" applyBorder="1" applyAlignment="1">
      <alignment horizontal="center" vertical="center" wrapText="1"/>
    </xf>
    <xf numFmtId="0" fontId="25" fillId="14" borderId="73" xfId="0" applyFont="1" applyFill="1" applyBorder="1" applyAlignment="1">
      <alignment horizontal="center" vertical="center" wrapText="1"/>
    </xf>
    <xf numFmtId="0" fontId="25" fillId="14" borderId="0" xfId="0" applyFont="1" applyFill="1" applyBorder="1" applyAlignment="1">
      <alignment horizontal="center" vertical="center" wrapText="1"/>
    </xf>
    <xf numFmtId="0" fontId="25" fillId="14" borderId="53" xfId="0" applyFont="1" applyFill="1" applyBorder="1" applyAlignment="1">
      <alignment horizontal="center" vertical="center" wrapText="1"/>
    </xf>
    <xf numFmtId="0" fontId="25" fillId="14" borderId="33" xfId="0" applyFont="1" applyFill="1" applyBorder="1" applyAlignment="1">
      <alignment horizontal="center" vertical="center" wrapText="1"/>
    </xf>
    <xf numFmtId="0" fontId="25" fillId="14" borderId="16" xfId="0" applyFont="1" applyFill="1" applyBorder="1" applyAlignment="1">
      <alignment horizontal="center" vertical="center" wrapText="1"/>
    </xf>
    <xf numFmtId="0" fontId="25" fillId="14" borderId="28" xfId="0" applyFont="1" applyFill="1" applyBorder="1" applyAlignment="1">
      <alignment horizontal="center" vertical="center" wrapText="1"/>
    </xf>
    <xf numFmtId="0" fontId="25" fillId="20" borderId="22" xfId="0" applyFont="1" applyFill="1" applyBorder="1" applyAlignment="1">
      <alignment horizontal="center" vertical="center" textRotation="90"/>
    </xf>
    <xf numFmtId="0" fontId="25" fillId="20" borderId="23" xfId="0" applyFont="1" applyFill="1" applyBorder="1" applyAlignment="1">
      <alignment horizontal="center" vertical="center" textRotation="90"/>
    </xf>
    <xf numFmtId="0" fontId="25" fillId="20" borderId="79" xfId="0" applyFont="1" applyFill="1" applyBorder="1" applyAlignment="1">
      <alignment horizontal="center" vertical="center" textRotation="90"/>
    </xf>
    <xf numFmtId="0" fontId="25" fillId="7" borderId="22" xfId="0" applyFont="1" applyFill="1" applyBorder="1" applyAlignment="1">
      <alignment horizontal="center" vertical="center" textRotation="90"/>
    </xf>
    <xf numFmtId="0" fontId="25" fillId="7" borderId="23" xfId="0" applyFont="1" applyFill="1" applyBorder="1" applyAlignment="1">
      <alignment horizontal="center" vertical="center" textRotation="90"/>
    </xf>
    <xf numFmtId="0" fontId="25" fillId="7" borderId="79" xfId="0" applyFont="1" applyFill="1" applyBorder="1" applyAlignment="1">
      <alignment horizontal="center" vertical="center" textRotation="90"/>
    </xf>
    <xf numFmtId="0" fontId="25" fillId="9" borderId="22" xfId="0" applyFont="1" applyFill="1" applyBorder="1" applyAlignment="1">
      <alignment horizontal="center" vertical="center" textRotation="90"/>
    </xf>
    <xf numFmtId="0" fontId="25" fillId="9" borderId="23" xfId="0" applyFont="1" applyFill="1" applyBorder="1" applyAlignment="1">
      <alignment horizontal="center" vertical="center" textRotation="90"/>
    </xf>
    <xf numFmtId="0" fontId="25" fillId="9" borderId="79" xfId="0" applyFont="1" applyFill="1" applyBorder="1" applyAlignment="1">
      <alignment horizontal="center" vertical="center" textRotation="90"/>
    </xf>
    <xf numFmtId="0" fontId="25" fillId="24" borderId="22" xfId="0" applyFont="1" applyFill="1" applyBorder="1" applyAlignment="1">
      <alignment horizontal="center" vertical="center" textRotation="90"/>
    </xf>
    <xf numFmtId="0" fontId="25" fillId="24" borderId="23" xfId="0" applyFont="1" applyFill="1" applyBorder="1" applyAlignment="1">
      <alignment horizontal="center" vertical="center" textRotation="90"/>
    </xf>
    <xf numFmtId="0" fontId="25" fillId="24" borderId="79" xfId="0" applyFont="1" applyFill="1" applyBorder="1" applyAlignment="1">
      <alignment horizontal="center" vertical="center" textRotation="90"/>
    </xf>
    <xf numFmtId="0" fontId="25" fillId="14" borderId="80" xfId="0" applyFont="1" applyFill="1" applyBorder="1" applyAlignment="1">
      <alignment horizontal="center" vertical="center" wrapText="1"/>
    </xf>
    <xf numFmtId="0" fontId="25" fillId="14" borderId="36" xfId="0" applyFont="1" applyFill="1" applyBorder="1" applyAlignment="1">
      <alignment horizontal="center" vertical="center" wrapText="1"/>
    </xf>
    <xf numFmtId="0" fontId="25" fillId="14" borderId="19" xfId="0" applyFont="1" applyFill="1" applyBorder="1" applyAlignment="1">
      <alignment horizontal="center" vertical="center" wrapText="1"/>
    </xf>
    <xf numFmtId="0" fontId="0" fillId="0" borderId="29" xfId="0" applyBorder="1" applyAlignment="1">
      <alignment horizontal="center" vertical="center"/>
    </xf>
    <xf numFmtId="0" fontId="0" fillId="0" borderId="32" xfId="0" applyBorder="1" applyAlignment="1">
      <alignment horizontal="center" vertical="center"/>
    </xf>
    <xf numFmtId="0" fontId="0" fillId="0" borderId="73" xfId="0" applyBorder="1" applyAlignment="1">
      <alignment horizontal="center" vertical="center"/>
    </xf>
    <xf numFmtId="0" fontId="0" fillId="0" borderId="71" xfId="0" applyBorder="1" applyAlignment="1">
      <alignment horizontal="center" vertical="center"/>
    </xf>
    <xf numFmtId="0" fontId="0" fillId="0" borderId="33" xfId="0" applyBorder="1" applyAlignment="1">
      <alignment horizontal="center" vertical="center"/>
    </xf>
    <xf numFmtId="0" fontId="0" fillId="0" borderId="17" xfId="0" applyBorder="1" applyAlignment="1">
      <alignment horizontal="center" vertical="center"/>
    </xf>
    <xf numFmtId="170" fontId="17" fillId="0" borderId="9" xfId="0" applyNumberFormat="1" applyFont="1" applyBorder="1" applyAlignment="1">
      <alignment horizontal="center" vertical="center"/>
    </xf>
    <xf numFmtId="170" fontId="17" fillId="0" borderId="52" xfId="0" applyNumberFormat="1" applyFont="1" applyBorder="1" applyAlignment="1">
      <alignment horizontal="center" vertical="center"/>
    </xf>
    <xf numFmtId="170" fontId="17" fillId="0" borderId="14" xfId="0" applyNumberFormat="1" applyFont="1" applyBorder="1" applyAlignment="1">
      <alignment horizontal="center" vertical="center"/>
    </xf>
    <xf numFmtId="170" fontId="17" fillId="0" borderId="15" xfId="0" applyNumberFormat="1" applyFont="1" applyBorder="1" applyAlignment="1">
      <alignment horizontal="center" vertical="center"/>
    </xf>
    <xf numFmtId="0" fontId="25" fillId="14" borderId="75" xfId="0" applyFont="1" applyFill="1" applyBorder="1" applyAlignment="1">
      <alignment horizontal="center" wrapText="1"/>
    </xf>
    <xf numFmtId="0" fontId="25" fillId="14" borderId="5" xfId="0" applyFont="1" applyFill="1" applyBorder="1" applyAlignment="1">
      <alignment horizontal="center" wrapText="1"/>
    </xf>
    <xf numFmtId="0" fontId="25" fillId="14" borderId="18" xfId="0" applyFont="1" applyFill="1" applyBorder="1" applyAlignment="1">
      <alignment horizontal="center" wrapText="1"/>
    </xf>
    <xf numFmtId="0" fontId="25" fillId="14" borderId="33" xfId="0" applyFont="1" applyFill="1" applyBorder="1" applyAlignment="1">
      <alignment horizontal="center" wrapText="1"/>
    </xf>
    <xf numFmtId="0" fontId="25" fillId="14" borderId="16" xfId="0" applyFont="1" applyFill="1" applyBorder="1" applyAlignment="1">
      <alignment horizontal="center" wrapText="1"/>
    </xf>
    <xf numFmtId="0" fontId="25" fillId="14" borderId="28" xfId="0" applyFont="1" applyFill="1" applyBorder="1" applyAlignment="1">
      <alignment horizontal="center" wrapText="1"/>
    </xf>
    <xf numFmtId="0" fontId="25" fillId="14" borderId="55" xfId="0" applyFont="1" applyFill="1" applyBorder="1" applyAlignment="1">
      <alignment horizontal="center"/>
    </xf>
    <xf numFmtId="0" fontId="25" fillId="14" borderId="56" xfId="0" applyFont="1" applyFill="1" applyBorder="1" applyAlignment="1">
      <alignment horizontal="center"/>
    </xf>
    <xf numFmtId="0" fontId="25" fillId="14" borderId="24" xfId="0" applyFont="1" applyFill="1" applyBorder="1" applyAlignment="1">
      <alignment horizontal="center" vertical="center" textRotation="90" wrapText="1"/>
    </xf>
    <xf numFmtId="0" fontId="25" fillId="14" borderId="26" xfId="0" applyFont="1" applyFill="1" applyBorder="1" applyAlignment="1">
      <alignment horizontal="center" vertical="center" textRotation="90" wrapText="1"/>
    </xf>
    <xf numFmtId="0" fontId="25" fillId="14" borderId="69" xfId="0" applyFont="1" applyFill="1" applyBorder="1" applyAlignment="1">
      <alignment horizontal="center"/>
    </xf>
    <xf numFmtId="0" fontId="25" fillId="14" borderId="59" xfId="0" applyFont="1" applyFill="1" applyBorder="1" applyAlignment="1">
      <alignment horizontal="center"/>
    </xf>
    <xf numFmtId="0" fontId="25" fillId="14" borderId="66" xfId="0" applyFont="1" applyFill="1" applyBorder="1" applyAlignment="1">
      <alignment horizontal="center"/>
    </xf>
    <xf numFmtId="0" fontId="9" fillId="0" borderId="36" xfId="0" applyFont="1" applyBorder="1" applyAlignment="1">
      <alignment horizontal="center"/>
    </xf>
    <xf numFmtId="0" fontId="0" fillId="32" borderId="10" xfId="0" applyFill="1" applyBorder="1" applyAlignment="1">
      <alignment horizontal="center" wrapText="1"/>
    </xf>
    <xf numFmtId="0" fontId="0" fillId="32" borderId="51" xfId="0" applyFill="1" applyBorder="1" applyAlignment="1">
      <alignment horizontal="center" wrapText="1"/>
    </xf>
    <xf numFmtId="0" fontId="0" fillId="31" borderId="51" xfId="0" applyFill="1" applyBorder="1" applyAlignment="1">
      <alignment horizontal="center" wrapText="1"/>
    </xf>
    <xf numFmtId="0" fontId="0" fillId="4" borderId="51" xfId="0" applyFill="1" applyBorder="1" applyAlignment="1">
      <alignment horizontal="center" wrapText="1"/>
    </xf>
    <xf numFmtId="0" fontId="0" fillId="4" borderId="13" xfId="0" applyFill="1" applyBorder="1" applyAlignment="1">
      <alignment horizontal="center" wrapText="1"/>
    </xf>
    <xf numFmtId="0" fontId="0" fillId="30" borderId="11" xfId="0" applyFill="1" applyBorder="1" applyAlignment="1">
      <alignment horizontal="center" wrapText="1"/>
    </xf>
    <xf numFmtId="0" fontId="0" fillId="30" borderId="9" xfId="0" applyFill="1" applyBorder="1" applyAlignment="1">
      <alignment horizontal="center" wrapText="1"/>
    </xf>
    <xf numFmtId="0" fontId="0" fillId="30" borderId="14" xfId="0" applyFill="1" applyBorder="1" applyAlignment="1">
      <alignment horizontal="center" wrapText="1"/>
    </xf>
    <xf numFmtId="0" fontId="0" fillId="29" borderId="12" xfId="0" applyFill="1" applyBorder="1" applyAlignment="1">
      <alignment horizontal="center" wrapText="1"/>
    </xf>
    <xf numFmtId="0" fontId="0" fillId="29" borderId="52" xfId="0" applyFill="1" applyBorder="1" applyAlignment="1">
      <alignment horizontal="center" wrapText="1"/>
    </xf>
    <xf numFmtId="0" fontId="0" fillId="28" borderId="52" xfId="0" applyFill="1" applyBorder="1" applyAlignment="1">
      <alignment horizontal="center" wrapText="1"/>
    </xf>
    <xf numFmtId="0" fontId="0" fillId="27" borderId="52" xfId="0" applyFill="1" applyBorder="1" applyAlignment="1">
      <alignment horizontal="center" wrapText="1"/>
    </xf>
    <xf numFmtId="0" fontId="0" fillId="27" borderId="15" xfId="0" applyFill="1" applyBorder="1" applyAlignment="1">
      <alignment horizontal="center" wrapText="1"/>
    </xf>
    <xf numFmtId="0" fontId="9" fillId="0" borderId="36" xfId="0" applyNumberFormat="1" applyFont="1" applyBorder="1" applyAlignment="1">
      <alignment horizontal="center"/>
    </xf>
    <xf numFmtId="0" fontId="0" fillId="0" borderId="9" xfId="0" applyBorder="1" applyAlignment="1">
      <alignment horizontal="left"/>
    </xf>
    <xf numFmtId="0" fontId="0" fillId="0" borderId="9" xfId="0" applyBorder="1" applyAlignment="1"/>
    <xf numFmtId="0" fontId="24" fillId="23" borderId="74" xfId="4" applyAlignment="1">
      <alignment horizontal="center"/>
    </xf>
    <xf numFmtId="0" fontId="0" fillId="0" borderId="9" xfId="0" applyBorder="1" applyAlignment="1">
      <alignment horizontal="center"/>
    </xf>
    <xf numFmtId="0" fontId="0" fillId="0" borderId="9" xfId="0" applyBorder="1" applyAlignment="1">
      <alignment horizontal="center" wrapText="1"/>
    </xf>
    <xf numFmtId="0" fontId="9" fillId="0" borderId="0" xfId="0" applyFont="1" applyAlignment="1">
      <alignment horizontal="center"/>
    </xf>
    <xf numFmtId="0" fontId="20" fillId="0" borderId="57" xfId="0" applyFont="1" applyBorder="1" applyAlignment="1">
      <alignment horizontal="center"/>
    </xf>
    <xf numFmtId="0" fontId="20" fillId="0" borderId="66" xfId="0" applyFont="1" applyBorder="1" applyAlignment="1">
      <alignment horizontal="center"/>
    </xf>
    <xf numFmtId="0" fontId="21" fillId="0" borderId="0" xfId="0" applyFont="1" applyBorder="1" applyAlignment="1">
      <alignment horizontal="center"/>
    </xf>
    <xf numFmtId="0" fontId="0" fillId="14" borderId="7" xfId="0" applyFill="1" applyBorder="1" applyAlignment="1">
      <alignment horizontal="center" vertical="center" wrapText="1"/>
    </xf>
    <xf numFmtId="0" fontId="0" fillId="14" borderId="5" xfId="0" applyFill="1" applyBorder="1" applyAlignment="1">
      <alignment horizontal="center" vertical="center" wrapText="1"/>
    </xf>
    <xf numFmtId="0" fontId="0" fillId="14" borderId="6" xfId="0" applyFill="1" applyBorder="1" applyAlignment="1">
      <alignment horizontal="center" vertical="center" wrapText="1"/>
    </xf>
    <xf numFmtId="0" fontId="0" fillId="14" borderId="0" xfId="0" applyFill="1" applyBorder="1" applyAlignment="1">
      <alignment horizontal="center" vertical="center" wrapText="1"/>
    </xf>
    <xf numFmtId="0" fontId="0" fillId="14" borderId="8" xfId="0" applyFill="1" applyBorder="1" applyAlignment="1">
      <alignment horizontal="center" vertical="center" wrapText="1"/>
    </xf>
    <xf numFmtId="0" fontId="0" fillId="14" borderId="36" xfId="0" applyFill="1" applyBorder="1" applyAlignment="1">
      <alignment horizontal="center" vertical="center" wrapText="1"/>
    </xf>
    <xf numFmtId="0" fontId="0" fillId="9" borderId="7" xfId="0" applyFill="1" applyBorder="1" applyAlignment="1">
      <alignment horizontal="center" vertical="center"/>
    </xf>
    <xf numFmtId="0" fontId="0" fillId="9" borderId="5" xfId="0" applyFill="1" applyBorder="1" applyAlignment="1">
      <alignment horizontal="center" vertical="center"/>
    </xf>
    <xf numFmtId="0" fontId="0" fillId="9" borderId="6" xfId="0" applyFill="1" applyBorder="1" applyAlignment="1">
      <alignment horizontal="center" vertical="center"/>
    </xf>
    <xf numFmtId="0" fontId="0" fillId="9" borderId="0" xfId="0" applyFill="1" applyBorder="1" applyAlignment="1">
      <alignment horizontal="center" vertical="center"/>
    </xf>
    <xf numFmtId="0" fontId="0" fillId="9" borderId="8" xfId="0" applyFill="1" applyBorder="1" applyAlignment="1">
      <alignment horizontal="center" vertical="center"/>
    </xf>
    <xf numFmtId="0" fontId="0" fillId="9" borderId="36" xfId="0" applyFill="1" applyBorder="1" applyAlignment="1">
      <alignment horizontal="center" vertical="center"/>
    </xf>
    <xf numFmtId="0" fontId="0" fillId="22" borderId="7" xfId="0" applyFill="1" applyBorder="1" applyAlignment="1">
      <alignment horizontal="center" vertical="center" wrapText="1"/>
    </xf>
    <xf numFmtId="0" fontId="0" fillId="22" borderId="5" xfId="0" applyFill="1" applyBorder="1" applyAlignment="1">
      <alignment horizontal="center" vertical="center" wrapText="1"/>
    </xf>
    <xf numFmtId="0" fontId="0" fillId="22" borderId="6" xfId="0" applyFill="1" applyBorder="1" applyAlignment="1">
      <alignment horizontal="center" vertical="center" wrapText="1"/>
    </xf>
    <xf numFmtId="0" fontId="0" fillId="22" borderId="0" xfId="0" applyFill="1" applyBorder="1" applyAlignment="1">
      <alignment horizontal="center" vertical="center" wrapText="1"/>
    </xf>
    <xf numFmtId="0" fontId="0" fillId="22" borderId="8" xfId="0" applyFill="1" applyBorder="1" applyAlignment="1">
      <alignment horizontal="center" vertical="center" wrapText="1"/>
    </xf>
    <xf numFmtId="0" fontId="0" fillId="22" borderId="3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0" xfId="0" applyFill="1" applyBorder="1" applyAlignment="1">
      <alignment horizontal="center" vertical="center" wrapText="1"/>
    </xf>
    <xf numFmtId="0" fontId="0" fillId="6" borderId="8" xfId="0" applyFill="1" applyBorder="1" applyAlignment="1">
      <alignment horizontal="center" vertical="center" wrapText="1"/>
    </xf>
    <xf numFmtId="0" fontId="0" fillId="6" borderId="36" xfId="0" applyFill="1" applyBorder="1" applyAlignment="1">
      <alignment horizontal="center" vertical="center" wrapText="1"/>
    </xf>
    <xf numFmtId="0" fontId="0" fillId="8" borderId="10" xfId="0" applyFill="1" applyBorder="1" applyAlignment="1">
      <alignment horizontal="center" vertical="center" wrapText="1"/>
    </xf>
    <xf numFmtId="0" fontId="0" fillId="8" borderId="11" xfId="0" applyFill="1" applyBorder="1" applyAlignment="1">
      <alignment horizontal="center" vertical="center" wrapText="1"/>
    </xf>
    <xf numFmtId="0" fontId="0" fillId="8" borderId="51" xfId="0" applyFill="1" applyBorder="1" applyAlignment="1">
      <alignment horizontal="center" vertical="center" wrapText="1"/>
    </xf>
    <xf numFmtId="0" fontId="0" fillId="8" borderId="9" xfId="0" applyFill="1" applyBorder="1" applyAlignment="1">
      <alignment horizontal="center" vertical="center" wrapText="1"/>
    </xf>
    <xf numFmtId="0" fontId="0" fillId="8" borderId="13" xfId="0" applyFill="1" applyBorder="1" applyAlignment="1">
      <alignment horizontal="center" vertical="center" wrapText="1"/>
    </xf>
    <xf numFmtId="0" fontId="0" fillId="8" borderId="14" xfId="0" applyFill="1" applyBorder="1" applyAlignment="1">
      <alignment horizontal="center" vertical="center" wrapText="1"/>
    </xf>
    <xf numFmtId="0" fontId="0" fillId="21" borderId="10" xfId="0" applyFill="1" applyBorder="1" applyAlignment="1">
      <alignment horizontal="center" vertical="center" wrapText="1"/>
    </xf>
    <xf numFmtId="0" fontId="0" fillId="21" borderId="11" xfId="0" applyFill="1" applyBorder="1" applyAlignment="1">
      <alignment horizontal="center" vertical="center" wrapText="1"/>
    </xf>
    <xf numFmtId="0" fontId="0" fillId="21" borderId="51" xfId="0" applyFill="1" applyBorder="1" applyAlignment="1">
      <alignment horizontal="center" vertical="center" wrapText="1"/>
    </xf>
    <xf numFmtId="0" fontId="0" fillId="21" borderId="9" xfId="0" applyFill="1" applyBorder="1" applyAlignment="1">
      <alignment horizontal="center" vertical="center" wrapText="1"/>
    </xf>
    <xf numFmtId="0" fontId="0" fillId="21" borderId="13" xfId="0" applyFill="1" applyBorder="1" applyAlignment="1">
      <alignment horizontal="center" vertical="center" wrapText="1"/>
    </xf>
    <xf numFmtId="0" fontId="0" fillId="21" borderId="14"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11" xfId="0" applyFill="1" applyBorder="1" applyAlignment="1">
      <alignment horizontal="center" vertical="center" wrapText="1"/>
    </xf>
    <xf numFmtId="0" fontId="0" fillId="5" borderId="51" xfId="0" applyFill="1" applyBorder="1" applyAlignment="1">
      <alignment horizontal="center" vertical="center" wrapText="1"/>
    </xf>
    <xf numFmtId="0" fontId="0" fillId="5" borderId="9" xfId="0" applyFill="1" applyBorder="1" applyAlignment="1">
      <alignment horizontal="center" vertical="center" wrapText="1"/>
    </xf>
    <xf numFmtId="0" fontId="0" fillId="5" borderId="13" xfId="0" applyFill="1" applyBorder="1" applyAlignment="1">
      <alignment horizontal="center" vertical="center" wrapText="1"/>
    </xf>
    <xf numFmtId="0" fontId="0" fillId="5" borderId="14" xfId="0" applyFill="1" applyBorder="1" applyAlignment="1">
      <alignment horizontal="center" vertical="center" wrapText="1"/>
    </xf>
    <xf numFmtId="0" fontId="0" fillId="11" borderId="10" xfId="0" applyFill="1" applyBorder="1" applyAlignment="1">
      <alignment horizontal="center" vertical="center" wrapText="1"/>
    </xf>
    <xf numFmtId="0" fontId="0" fillId="11" borderId="11" xfId="0" applyFill="1" applyBorder="1" applyAlignment="1">
      <alignment horizontal="center" vertical="center" wrapText="1"/>
    </xf>
    <xf numFmtId="0" fontId="0" fillId="11" borderId="51" xfId="0" applyFill="1" applyBorder="1" applyAlignment="1">
      <alignment horizontal="center" vertical="center" wrapText="1"/>
    </xf>
    <xf numFmtId="0" fontId="0" fillId="11" borderId="9" xfId="0" applyFill="1" applyBorder="1" applyAlignment="1">
      <alignment horizontal="center" vertical="center" wrapText="1"/>
    </xf>
    <xf numFmtId="0" fontId="0" fillId="11" borderId="13" xfId="0" applyFill="1" applyBorder="1" applyAlignment="1">
      <alignment horizontal="center" vertical="center" wrapText="1"/>
    </xf>
    <xf numFmtId="0" fontId="0" fillId="11" borderId="14" xfId="0" applyFill="1" applyBorder="1" applyAlignment="1">
      <alignment horizontal="center" vertical="center" wrapText="1"/>
    </xf>
    <xf numFmtId="0" fontId="0" fillId="7" borderId="10" xfId="0" applyFill="1" applyBorder="1" applyAlignment="1">
      <alignment horizontal="center" vertical="center" wrapText="1"/>
    </xf>
    <xf numFmtId="0" fontId="0" fillId="7" borderId="11" xfId="0" applyFill="1" applyBorder="1" applyAlignment="1">
      <alignment horizontal="center" vertical="center" wrapText="1"/>
    </xf>
    <xf numFmtId="0" fontId="0" fillId="7" borderId="51" xfId="0" applyFill="1" applyBorder="1" applyAlignment="1">
      <alignment horizontal="center" vertical="center" wrapText="1"/>
    </xf>
    <xf numFmtId="0" fontId="0" fillId="7" borderId="9" xfId="0" applyFill="1" applyBorder="1" applyAlignment="1">
      <alignment horizontal="center" vertical="center" wrapText="1"/>
    </xf>
    <xf numFmtId="0" fontId="0" fillId="7" borderId="13" xfId="0" applyFill="1" applyBorder="1" applyAlignment="1">
      <alignment horizontal="center" vertical="center" wrapText="1"/>
    </xf>
    <xf numFmtId="0" fontId="0" fillId="7" borderId="14" xfId="0" applyFill="1" applyBorder="1" applyAlignment="1">
      <alignment horizontal="center" vertical="center" wrapText="1"/>
    </xf>
    <xf numFmtId="0" fontId="21" fillId="0" borderId="36" xfId="0" applyFont="1" applyBorder="1" applyAlignment="1">
      <alignment horizontal="center"/>
    </xf>
    <xf numFmtId="0" fontId="0" fillId="0" borderId="0" xfId="0" applyAlignment="1">
      <alignment horizontal="center"/>
    </xf>
    <xf numFmtId="0" fontId="9" fillId="0" borderId="0" xfId="0" applyFont="1" applyBorder="1" applyAlignment="1">
      <alignment horizontal="center" vertical="center"/>
    </xf>
    <xf numFmtId="0" fontId="9" fillId="0" borderId="0" xfId="0" applyFont="1" applyBorder="1" applyAlignment="1">
      <alignment horizontal="center"/>
    </xf>
    <xf numFmtId="0" fontId="1" fillId="37" borderId="10" xfId="1" applyFill="1" applyBorder="1" applyAlignment="1">
      <alignment horizontal="left"/>
    </xf>
    <xf numFmtId="0" fontId="1" fillId="37" borderId="11" xfId="1" applyFill="1" applyBorder="1" applyAlignment="1">
      <alignment horizontal="left"/>
    </xf>
    <xf numFmtId="0" fontId="0" fillId="0" borderId="13" xfId="0" quotePrefix="1" applyFont="1" applyBorder="1" applyAlignment="1">
      <alignment horizontal="left"/>
    </xf>
    <xf numFmtId="0" fontId="0" fillId="0" borderId="14" xfId="0" quotePrefix="1" applyFont="1" applyBorder="1" applyAlignment="1">
      <alignment horizontal="left"/>
    </xf>
    <xf numFmtId="0" fontId="2" fillId="0" borderId="0" xfId="0" applyFont="1" applyAlignment="1">
      <alignment horizontal="center"/>
    </xf>
    <xf numFmtId="0" fontId="3" fillId="0" borderId="0" xfId="0" applyFont="1" applyAlignment="1">
      <alignment horizontal="center" vertical="center"/>
    </xf>
    <xf numFmtId="0" fontId="3" fillId="0" borderId="0" xfId="0" applyFont="1" applyBorder="1" applyAlignment="1">
      <alignment horizontal="center" vertical="center"/>
    </xf>
    <xf numFmtId="0" fontId="3" fillId="3" borderId="7" xfId="0" applyFont="1" applyFill="1" applyBorder="1" applyAlignment="1">
      <alignment horizontal="center" vertical="center" wrapText="1"/>
    </xf>
    <xf numFmtId="0" fontId="3" fillId="3" borderId="6" xfId="0" applyFont="1" applyFill="1" applyBorder="1" applyAlignment="1">
      <alignment horizontal="center" vertical="center" wrapText="1"/>
    </xf>
    <xf numFmtId="0" fontId="3" fillId="0" borderId="0" xfId="0" applyFont="1" applyAlignment="1">
      <alignment horizontal="right"/>
    </xf>
    <xf numFmtId="0" fontId="3" fillId="0" borderId="0" xfId="0" applyFont="1" applyAlignment="1">
      <alignment horizontal="right" vertical="top"/>
    </xf>
    <xf numFmtId="0" fontId="9" fillId="0" borderId="56" xfId="0" applyFont="1" applyBorder="1" applyAlignment="1">
      <alignment horizontal="center" vertical="center"/>
    </xf>
    <xf numFmtId="0" fontId="9" fillId="0" borderId="67" xfId="0" applyFont="1" applyBorder="1" applyAlignment="1">
      <alignment horizontal="center" vertical="center"/>
    </xf>
    <xf numFmtId="0" fontId="9" fillId="0" borderId="9" xfId="0" applyFont="1" applyBorder="1" applyAlignment="1">
      <alignment horizontal="center" vertical="center"/>
    </xf>
    <xf numFmtId="0" fontId="9" fillId="0" borderId="14" xfId="0" applyFont="1" applyBorder="1" applyAlignment="1">
      <alignment horizontal="center" vertical="center"/>
    </xf>
    <xf numFmtId="0" fontId="9" fillId="0" borderId="52" xfId="0" applyFont="1" applyBorder="1" applyAlignment="1">
      <alignment horizontal="center" vertical="center"/>
    </xf>
    <xf numFmtId="0" fontId="9" fillId="0" borderId="15" xfId="0" applyFont="1" applyBorder="1" applyAlignment="1">
      <alignment horizontal="center" vertical="center"/>
    </xf>
    <xf numFmtId="0" fontId="0" fillId="0" borderId="51" xfId="0" applyBorder="1" applyAlignment="1">
      <alignment horizontal="left"/>
    </xf>
    <xf numFmtId="0" fontId="0" fillId="0" borderId="13" xfId="0" applyBorder="1" applyAlignment="1">
      <alignment horizontal="left"/>
    </xf>
    <xf numFmtId="0" fontId="0" fillId="0" borderId="14" xfId="0" applyBorder="1" applyAlignment="1">
      <alignment horizontal="left"/>
    </xf>
    <xf numFmtId="0" fontId="9" fillId="0" borderId="56" xfId="0" applyFont="1" applyBorder="1" applyAlignment="1">
      <alignment horizontal="center"/>
    </xf>
    <xf numFmtId="0" fontId="9" fillId="0" borderId="9" xfId="0" applyFont="1" applyBorder="1" applyAlignment="1">
      <alignment horizontal="center"/>
    </xf>
    <xf numFmtId="0" fontId="0" fillId="0" borderId="16" xfId="0" applyBorder="1" applyAlignment="1">
      <alignment horizontal="center"/>
    </xf>
    <xf numFmtId="9" fontId="9" fillId="0" borderId="10" xfId="3" applyFont="1" applyBorder="1" applyAlignment="1">
      <alignment horizontal="center"/>
    </xf>
    <xf numFmtId="9" fontId="9" fillId="0" borderId="12" xfId="3" applyFont="1" applyBorder="1" applyAlignment="1">
      <alignment horizontal="center"/>
    </xf>
    <xf numFmtId="0" fontId="30" fillId="0" borderId="10" xfId="0" applyFont="1" applyBorder="1" applyAlignment="1">
      <alignment horizontal="center"/>
    </xf>
    <xf numFmtId="0" fontId="30" fillId="0" borderId="12" xfId="0" applyFont="1" applyBorder="1" applyAlignment="1">
      <alignment horizontal="center"/>
    </xf>
    <xf numFmtId="0" fontId="0" fillId="0" borderId="81" xfId="0" applyBorder="1" applyAlignment="1">
      <alignment horizontal="left"/>
    </xf>
    <xf numFmtId="0" fontId="0" fillId="0" borderId="82" xfId="0" applyBorder="1" applyAlignment="1">
      <alignment horizontal="left"/>
    </xf>
    <xf numFmtId="0" fontId="0" fillId="0" borderId="56" xfId="0" applyBorder="1" applyAlignment="1">
      <alignment horizontal="left"/>
    </xf>
    <xf numFmtId="0" fontId="0" fillId="0" borderId="36" xfId="0" applyBorder="1" applyAlignment="1">
      <alignment horizontal="center"/>
    </xf>
    <xf numFmtId="0" fontId="7" fillId="7" borderId="13" xfId="0" applyNumberFormat="1" applyFont="1" applyFill="1" applyBorder="1" applyAlignment="1">
      <alignment horizontal="center"/>
    </xf>
    <xf numFmtId="0" fontId="7" fillId="7" borderId="15" xfId="0" applyNumberFormat="1" applyFont="1" applyFill="1" applyBorder="1" applyAlignment="1">
      <alignment horizontal="center"/>
    </xf>
    <xf numFmtId="0" fontId="0" fillId="4" borderId="10" xfId="0" applyNumberFormat="1" applyFill="1" applyBorder="1" applyAlignment="1">
      <alignment horizontal="center"/>
    </xf>
    <xf numFmtId="0" fontId="0" fillId="4" borderId="12" xfId="0" applyNumberFormat="1" applyFill="1" applyBorder="1" applyAlignment="1">
      <alignment horizontal="center"/>
    </xf>
    <xf numFmtId="0" fontId="22" fillId="0" borderId="0" xfId="0" applyFont="1" applyBorder="1" applyAlignment="1">
      <alignment horizontal="center"/>
    </xf>
    <xf numFmtId="0" fontId="0" fillId="5" borderId="10" xfId="0" applyNumberFormat="1" applyFill="1" applyBorder="1" applyAlignment="1">
      <alignment horizontal="center"/>
    </xf>
    <xf numFmtId="0" fontId="0" fillId="5" borderId="12" xfId="0" applyNumberFormat="1" applyFill="1" applyBorder="1" applyAlignment="1">
      <alignment horizontal="center"/>
    </xf>
    <xf numFmtId="0" fontId="1" fillId="37" borderId="63" xfId="1" applyFill="1" applyBorder="1" applyAlignment="1">
      <alignment horizontal="center"/>
    </xf>
    <xf numFmtId="0" fontId="1" fillId="37" borderId="85" xfId="1" applyFill="1" applyBorder="1" applyAlignment="1">
      <alignment horizontal="center"/>
    </xf>
    <xf numFmtId="0" fontId="1" fillId="37" borderId="9" xfId="1" applyFill="1" applyBorder="1" applyAlignment="1">
      <alignment horizontal="left"/>
    </xf>
    <xf numFmtId="0" fontId="0" fillId="0" borderId="83" xfId="0" applyBorder="1" applyAlignment="1">
      <alignment horizontal="left"/>
    </xf>
    <xf numFmtId="0" fontId="0" fillId="0" borderId="84" xfId="0" applyBorder="1" applyAlignment="1">
      <alignment horizontal="left"/>
    </xf>
    <xf numFmtId="0" fontId="0" fillId="0" borderId="67" xfId="0" applyBorder="1" applyAlignment="1">
      <alignment horizontal="left"/>
    </xf>
    <xf numFmtId="0" fontId="0" fillId="0" borderId="57" xfId="0" applyBorder="1" applyAlignment="1">
      <alignment horizontal="left"/>
    </xf>
    <xf numFmtId="0" fontId="0" fillId="0" borderId="59" xfId="0" applyBorder="1" applyAlignment="1">
      <alignment horizontal="left"/>
    </xf>
    <xf numFmtId="0" fontId="0" fillId="0" borderId="66" xfId="0" applyBorder="1" applyAlignment="1">
      <alignment horizontal="left"/>
    </xf>
    <xf numFmtId="0" fontId="31" fillId="0" borderId="7" xfId="0" quotePrefix="1" applyFont="1" applyBorder="1" applyAlignment="1">
      <alignment horizontal="center" vertical="center"/>
    </xf>
    <xf numFmtId="0" fontId="31" fillId="0" borderId="8" xfId="0" quotePrefix="1" applyFont="1" applyBorder="1" applyAlignment="1">
      <alignment horizontal="center" vertical="center"/>
    </xf>
    <xf numFmtId="0" fontId="27" fillId="0" borderId="0" xfId="0" applyFont="1" applyBorder="1" applyAlignment="1">
      <alignment horizontal="center"/>
    </xf>
    <xf numFmtId="0" fontId="27" fillId="0" borderId="36" xfId="0" applyFont="1" applyBorder="1" applyAlignment="1">
      <alignment horizontal="center"/>
    </xf>
    <xf numFmtId="0" fontId="9" fillId="0" borderId="57" xfId="0" applyFont="1" applyFill="1" applyBorder="1" applyAlignment="1">
      <alignment horizontal="center"/>
    </xf>
    <xf numFmtId="0" fontId="9" fillId="0" borderId="66" xfId="0" applyFont="1" applyFill="1" applyBorder="1" applyAlignment="1">
      <alignment horizontal="center"/>
    </xf>
    <xf numFmtId="0" fontId="31" fillId="0" borderId="2" xfId="0" quotePrefix="1" applyFont="1" applyBorder="1" applyAlignment="1">
      <alignment horizontal="center" vertical="center"/>
    </xf>
    <xf numFmtId="0" fontId="31" fillId="0" borderId="3" xfId="0" quotePrefix="1" applyFont="1" applyBorder="1" applyAlignment="1">
      <alignment horizontal="center" vertical="center"/>
    </xf>
    <xf numFmtId="0" fontId="0" fillId="0" borderId="10" xfId="0" applyBorder="1" applyAlignment="1">
      <alignment horizontal="left"/>
    </xf>
    <xf numFmtId="0" fontId="0" fillId="0" borderId="11" xfId="0" applyBorder="1" applyAlignment="1">
      <alignment horizontal="left"/>
    </xf>
    <xf numFmtId="0" fontId="33" fillId="0" borderId="0" xfId="0" applyFont="1" applyAlignment="1">
      <alignment horizontal="center"/>
    </xf>
    <xf numFmtId="0" fontId="0" fillId="0" borderId="16" xfId="0" applyNumberFormat="1" applyBorder="1" applyAlignment="1">
      <alignment horizontal="center"/>
    </xf>
    <xf numFmtId="0" fontId="0" fillId="0" borderId="17" xfId="0" applyNumberFormat="1" applyBorder="1" applyAlignment="1">
      <alignment horizontal="center"/>
    </xf>
    <xf numFmtId="0" fontId="7" fillId="7" borderId="9" xfId="0" applyNumberFormat="1" applyFont="1" applyFill="1" applyBorder="1" applyAlignment="1">
      <alignment horizontal="center"/>
    </xf>
    <xf numFmtId="171" fontId="0" fillId="0" borderId="0" xfId="0" applyNumberFormat="1" applyAlignment="1">
      <alignment horizontal="center"/>
    </xf>
    <xf numFmtId="14" fontId="0" fillId="0" borderId="0" xfId="0" applyNumberFormat="1" applyAlignment="1">
      <alignment horizontal="left"/>
    </xf>
    <xf numFmtId="0" fontId="0" fillId="0" borderId="20" xfId="0" applyBorder="1" applyAlignment="1">
      <alignment horizontal="center"/>
    </xf>
    <xf numFmtId="0" fontId="0" fillId="0" borderId="21" xfId="0" applyBorder="1" applyAlignment="1">
      <alignment horizontal="center"/>
    </xf>
    <xf numFmtId="0" fontId="8" fillId="0" borderId="0" xfId="0" applyFont="1" applyAlignment="1">
      <alignment horizontal="center"/>
    </xf>
    <xf numFmtId="0" fontId="0" fillId="0" borderId="5" xfId="0" applyBorder="1" applyAlignment="1">
      <alignment horizontal="center"/>
    </xf>
    <xf numFmtId="0" fontId="9" fillId="0" borderId="0" xfId="0" applyNumberFormat="1" applyFont="1" applyAlignment="1">
      <alignment horizontal="center" vertical="center"/>
    </xf>
    <xf numFmtId="0" fontId="13" fillId="0" borderId="0" xfId="0" applyFont="1" applyAlignment="1">
      <alignment horizontal="center"/>
    </xf>
    <xf numFmtId="0" fontId="0" fillId="0" borderId="2" xfId="0" applyBorder="1" applyAlignment="1">
      <alignment horizontal="center" vertical="center" textRotation="90" wrapText="1"/>
    </xf>
    <xf numFmtId="0" fontId="0" fillId="0" borderId="4" xfId="0" applyBorder="1" applyAlignment="1">
      <alignment horizontal="center" vertical="center" textRotation="90" wrapText="1"/>
    </xf>
    <xf numFmtId="0" fontId="0" fillId="0" borderId="3" xfId="0" applyBorder="1" applyAlignment="1">
      <alignment horizontal="center" vertical="center" textRotation="90" wrapText="1"/>
    </xf>
    <xf numFmtId="0" fontId="0" fillId="0" borderId="60" xfId="0" applyBorder="1" applyAlignment="1">
      <alignment horizontal="center"/>
    </xf>
    <xf numFmtId="0" fontId="0" fillId="0" borderId="2" xfId="0" applyBorder="1" applyAlignment="1">
      <alignment horizontal="center" vertical="center" textRotation="180" wrapText="1"/>
    </xf>
    <xf numFmtId="0" fontId="0" fillId="0" borderId="4" xfId="0" applyBorder="1" applyAlignment="1">
      <alignment horizontal="center" vertical="center" textRotation="180" wrapText="1"/>
    </xf>
    <xf numFmtId="0" fontId="0" fillId="0" borderId="2"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xf numFmtId="0" fontId="0" fillId="0" borderId="0" xfId="0" applyNumberFormat="1" applyAlignment="1">
      <alignment horizontal="center"/>
    </xf>
    <xf numFmtId="0" fontId="0" fillId="0" borderId="20" xfId="0" applyNumberFormat="1" applyBorder="1" applyAlignment="1">
      <alignment horizontal="center"/>
    </xf>
    <xf numFmtId="0" fontId="0" fillId="0" borderId="21" xfId="0" applyNumberFormat="1" applyBorder="1" applyAlignment="1">
      <alignment horizontal="center"/>
    </xf>
    <xf numFmtId="164" fontId="9" fillId="0" borderId="0" xfId="0" applyNumberFormat="1" applyFont="1" applyBorder="1" applyAlignment="1">
      <alignment horizontal="left"/>
    </xf>
    <xf numFmtId="0" fontId="0" fillId="0" borderId="0" xfId="0" applyNumberFormat="1" applyBorder="1" applyAlignment="1">
      <alignment horizontal="center"/>
    </xf>
    <xf numFmtId="0" fontId="0" fillId="0" borderId="36" xfId="0" applyNumberFormat="1" applyBorder="1" applyAlignment="1">
      <alignment horizontal="center"/>
    </xf>
    <xf numFmtId="164" fontId="9" fillId="0" borderId="0" xfId="0" applyNumberFormat="1" applyFont="1" applyBorder="1" applyAlignment="1">
      <alignment horizontal="center"/>
    </xf>
    <xf numFmtId="0" fontId="7" fillId="7" borderId="55" xfId="0" applyNumberFormat="1" applyFont="1" applyFill="1" applyBorder="1" applyAlignment="1">
      <alignment horizontal="center"/>
    </xf>
    <xf numFmtId="0" fontId="7" fillId="7" borderId="56" xfId="0" applyNumberFormat="1" applyFont="1" applyFill="1" applyBorder="1" applyAlignment="1">
      <alignment horizontal="center"/>
    </xf>
  </cellXfs>
  <cellStyles count="5">
    <cellStyle name="Гиперссылка" xfId="2" builtinId="8"/>
    <cellStyle name="Контрольная ячейка" xfId="4" builtinId="23"/>
    <cellStyle name="Обычный" xfId="0" builtinId="0"/>
    <cellStyle name="Процентный" xfId="3" builtinId="5"/>
    <cellStyle name="Хороший" xfId="1" builtinId="26"/>
  </cellStyles>
  <dxfs count="881">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F99FF"/>
      <color rgb="FFFFCCCC"/>
      <color rgb="FFCC99FF"/>
      <color rgb="FFFF5050"/>
      <color rgb="FFCCECFF"/>
      <color rgb="FFFF7C80"/>
      <color rgb="FFFF9999"/>
      <color rgb="FF99CCFF"/>
      <color rgb="FF3366FF"/>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Карьеры</a:t>
            </a:r>
            <a:r>
              <a:rPr lang="ru-RU" baseline="0"/>
              <a:t> и </a:t>
            </a:r>
            <a:r>
              <a:rPr lang="ru-RU"/>
              <a:t>Личной жизни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Карьера</c:v>
          </c:tx>
          <c:spPr>
            <a:ln w="19050" cap="rnd">
              <a:solidFill>
                <a:schemeClr val="accent1"/>
              </a:solidFill>
              <a:round/>
            </a:ln>
            <a:effectLst/>
          </c:spPr>
          <c:marker>
            <c:symbol val="triangle"/>
            <c:size val="7"/>
            <c:spPr>
              <a:solidFill>
                <a:srgbClr val="0070C0"/>
              </a:solidFill>
              <a:ln w="9525">
                <a:solidFill>
                  <a:srgbClr val="0070C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Судьбы'!$I$131:$P$131</c:f>
              <c:numCache>
                <c:formatCode>0</c:formatCode>
                <c:ptCount val="8"/>
                <c:pt idx="0" formatCode="General">
                  <c:v>0</c:v>
                </c:pt>
                <c:pt idx="1">
                  <c:v>15</c:v>
                </c:pt>
                <c:pt idx="2">
                  <c:v>21</c:v>
                </c:pt>
                <c:pt idx="3">
                  <c:v>38</c:v>
                </c:pt>
                <c:pt idx="4">
                  <c:v>45</c:v>
                </c:pt>
                <c:pt idx="5">
                  <c:v>53</c:v>
                </c:pt>
                <c:pt idx="6">
                  <c:v>62</c:v>
                </c:pt>
                <c:pt idx="7">
                  <c:v>73</c:v>
                </c:pt>
              </c:numCache>
            </c:numRef>
          </c:xVal>
          <c:yVal>
            <c:numRef>
              <c:f>'Кристалл Судьбы'!$I$130:$P$130</c:f>
              <c:numCache>
                <c:formatCode>General</c:formatCode>
                <c:ptCount val="8"/>
                <c:pt idx="0">
                  <c:v>0</c:v>
                </c:pt>
                <c:pt idx="1">
                  <c:v>5</c:v>
                </c:pt>
                <c:pt idx="2">
                  <c:v>1</c:v>
                </c:pt>
                <c:pt idx="3">
                  <c:v>8</c:v>
                </c:pt>
                <c:pt idx="4">
                  <c:v>5</c:v>
                </c:pt>
                <c:pt idx="5">
                  <c:v>3</c:v>
                </c:pt>
                <c:pt idx="6">
                  <c:v>2</c:v>
                </c:pt>
                <c:pt idx="7">
                  <c:v>3</c:v>
                </c:pt>
              </c:numCache>
            </c:numRef>
          </c:yVal>
          <c:smooth val="0"/>
          <c:extLst>
            <c:ext xmlns:c16="http://schemas.microsoft.com/office/drawing/2014/chart" uri="{C3380CC4-5D6E-409C-BE32-E72D297353CC}">
              <c16:uniqueId val="{00000000-D95A-4FB6-8570-0F3CCE26AC81}"/>
            </c:ext>
          </c:extLst>
        </c:ser>
        <c:ser>
          <c:idx val="3"/>
          <c:order val="1"/>
          <c:tx>
            <c:v>Комфорт Карьера</c:v>
          </c:tx>
          <c:spPr>
            <a:ln w="19050" cap="rnd">
              <a:solidFill>
                <a:schemeClr val="accent4"/>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D95A-4FB6-8570-0F3CCE26AC81}"/>
                </c:ext>
              </c:extLst>
            </c:dLbl>
            <c:dLbl>
              <c:idx val="1"/>
              <c:delete val="1"/>
              <c:extLst>
                <c:ext xmlns:c15="http://schemas.microsoft.com/office/drawing/2012/chart" uri="{CE6537A1-D6FC-4f65-9D91-7224C49458BB}"/>
                <c:ext xmlns:c16="http://schemas.microsoft.com/office/drawing/2014/chart" uri="{C3380CC4-5D6E-409C-BE32-E72D297353CC}">
                  <c16:uniqueId val="{00000002-D95A-4FB6-8570-0F3CCE26AC81}"/>
                </c:ext>
              </c:extLst>
            </c:dLbl>
            <c:dLbl>
              <c:idx val="2"/>
              <c:delete val="1"/>
              <c:extLst>
                <c:ext xmlns:c15="http://schemas.microsoft.com/office/drawing/2012/chart" uri="{CE6537A1-D6FC-4f65-9D91-7224C49458BB}"/>
                <c:ext xmlns:c16="http://schemas.microsoft.com/office/drawing/2014/chart" uri="{C3380CC4-5D6E-409C-BE32-E72D297353CC}">
                  <c16:uniqueId val="{00000003-D95A-4FB6-8570-0F3CCE26AC81}"/>
                </c:ext>
              </c:extLst>
            </c:dLbl>
            <c:dLbl>
              <c:idx val="3"/>
              <c:delete val="1"/>
              <c:extLst>
                <c:ext xmlns:c15="http://schemas.microsoft.com/office/drawing/2012/chart" uri="{CE6537A1-D6FC-4f65-9D91-7224C49458BB}"/>
                <c:ext xmlns:c16="http://schemas.microsoft.com/office/drawing/2014/chart" uri="{C3380CC4-5D6E-409C-BE32-E72D297353CC}">
                  <c16:uniqueId val="{00000004-D95A-4FB6-8570-0F3CCE26AC81}"/>
                </c:ext>
              </c:extLst>
            </c:dLbl>
            <c:dLbl>
              <c:idx val="4"/>
              <c:delete val="1"/>
              <c:extLst>
                <c:ext xmlns:c15="http://schemas.microsoft.com/office/drawing/2012/chart" uri="{CE6537A1-D6FC-4f65-9D91-7224C49458BB}"/>
                <c:ext xmlns:c16="http://schemas.microsoft.com/office/drawing/2014/chart" uri="{C3380CC4-5D6E-409C-BE32-E72D297353CC}">
                  <c16:uniqueId val="{00000005-D95A-4FB6-8570-0F3CCE26AC81}"/>
                </c:ext>
              </c:extLst>
            </c:dLbl>
            <c:dLbl>
              <c:idx val="5"/>
              <c:delete val="1"/>
              <c:extLst>
                <c:ext xmlns:c15="http://schemas.microsoft.com/office/drawing/2012/chart" uri="{CE6537A1-D6FC-4f65-9D91-7224C49458BB}"/>
                <c:ext xmlns:c16="http://schemas.microsoft.com/office/drawing/2014/chart" uri="{C3380CC4-5D6E-409C-BE32-E72D297353CC}">
                  <c16:uniqueId val="{00000006-D95A-4FB6-8570-0F3CCE26AC81}"/>
                </c:ext>
              </c:extLst>
            </c:dLbl>
            <c:dLbl>
              <c:idx val="6"/>
              <c:delete val="1"/>
              <c:extLst>
                <c:ext xmlns:c15="http://schemas.microsoft.com/office/drawing/2012/chart" uri="{CE6537A1-D6FC-4f65-9D91-7224C49458BB}"/>
                <c:ext xmlns:c16="http://schemas.microsoft.com/office/drawing/2014/chart" uri="{C3380CC4-5D6E-409C-BE32-E72D297353CC}">
                  <c16:uniqueId val="{00000007-D95A-4FB6-8570-0F3CCE26AC81}"/>
                </c:ext>
              </c:extLst>
            </c:dLbl>
            <c:dLbl>
              <c:idx val="7"/>
              <c:layout>
                <c:manualLayout>
                  <c:x val="1.41902479581356E-2"/>
                  <c:y val="-2.4758312638261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dLblPos val="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 xmlns:c16="http://schemas.microsoft.com/office/drawing/2014/chart" uri="{C3380CC4-5D6E-409C-BE32-E72D297353CC}">
                  <c16:uniqueId val="{00000008-D95A-4FB6-8570-0F3CCE26AC8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borderCallout1">
                    <a:avLst/>
                  </a:prstGeom>
                  <a:noFill/>
                  <a:ln>
                    <a:noFill/>
                  </a:ln>
                </c15:spPr>
                <c15:showLeaderLines val="0"/>
              </c:ext>
            </c:extLst>
          </c:dLbls>
          <c:xVal>
            <c:numRef>
              <c:f>'Кристалл Судьбы'!$I$131:$P$131</c:f>
              <c:numCache>
                <c:formatCode>0</c:formatCode>
                <c:ptCount val="8"/>
                <c:pt idx="0" formatCode="General">
                  <c:v>0</c:v>
                </c:pt>
                <c:pt idx="1">
                  <c:v>15</c:v>
                </c:pt>
                <c:pt idx="2">
                  <c:v>21</c:v>
                </c:pt>
                <c:pt idx="3">
                  <c:v>38</c:v>
                </c:pt>
                <c:pt idx="4">
                  <c:v>45</c:v>
                </c:pt>
                <c:pt idx="5">
                  <c:v>53</c:v>
                </c:pt>
                <c:pt idx="6">
                  <c:v>62</c:v>
                </c:pt>
                <c:pt idx="7">
                  <c:v>73</c:v>
                </c:pt>
              </c:numCache>
            </c:numRef>
          </c:xVal>
          <c:yVal>
            <c:numRef>
              <c:f>'Кристалл Судьбы'!$I$132:$P$132</c:f>
              <c:numCache>
                <c:formatCode>General</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9-D95A-4FB6-8570-0F3CCE26AC81}"/>
            </c:ext>
          </c:extLst>
        </c:ser>
        <c:ser>
          <c:idx val="5"/>
          <c:order val="2"/>
          <c:tx>
            <c:v>Пересечение Карьера</c:v>
          </c:tx>
          <c:spPr>
            <a:ln w="25400" cap="rnd">
              <a:noFill/>
              <a:round/>
            </a:ln>
            <a:effectLst/>
          </c:spPr>
          <c:marker>
            <c:symbol val="square"/>
            <c:size val="5"/>
            <c:spPr>
              <a:solidFill>
                <a:schemeClr val="accent1"/>
              </a:solidFill>
              <a:ln w="9525">
                <a:solidFill>
                  <a:schemeClr val="accent1"/>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AD6C-447F-ACCF-22A22DB1AE67}"/>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Судьбы'!$I$133:$P$133</c:f>
              <c:numCache>
                <c:formatCode>0.00</c:formatCode>
                <c:ptCount val="8"/>
                <c:pt idx="0">
                  <c:v>0</c:v>
                </c:pt>
                <c:pt idx="1">
                  <c:v>11.571428298950195</c:v>
                </c:pt>
                <c:pt idx="2">
                  <c:v>16.714284896850586</c:v>
                </c:pt>
                <c:pt idx="3">
                  <c:v>27.938776016235352</c:v>
                </c:pt>
                <c:pt idx="4">
                  <c:v>0</c:v>
                </c:pt>
                <c:pt idx="5">
                  <c:v>49.571426391601563</c:v>
                </c:pt>
                <c:pt idx="6">
                  <c:v>0</c:v>
                </c:pt>
                <c:pt idx="7">
                  <c:v>0</c:v>
                </c:pt>
              </c:numCache>
            </c:numRef>
          </c:xVal>
          <c:yVal>
            <c:numRef>
              <c:f>'Кристалл Судьбы'!$I$132:$P$132</c:f>
              <c:numCache>
                <c:formatCode>General</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0-0070-4774-A659-4EC30392A8F3}"/>
            </c:ext>
          </c:extLst>
        </c:ser>
        <c:ser>
          <c:idx val="1"/>
          <c:order val="3"/>
          <c:tx>
            <c:v>Личная Жизнь</c:v>
          </c:tx>
          <c:spPr>
            <a:ln w="19050"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Судьбы'!$I$140:$P$140</c:f>
              <c:numCache>
                <c:formatCode>0</c:formatCode>
                <c:ptCount val="8"/>
                <c:pt idx="0" formatCode="General">
                  <c:v>0</c:v>
                </c:pt>
                <c:pt idx="1">
                  <c:v>13</c:v>
                </c:pt>
                <c:pt idx="2">
                  <c:v>26</c:v>
                </c:pt>
                <c:pt idx="3">
                  <c:v>31</c:v>
                </c:pt>
                <c:pt idx="4">
                  <c:v>49</c:v>
                </c:pt>
                <c:pt idx="5">
                  <c:v>59</c:v>
                </c:pt>
                <c:pt idx="6">
                  <c:v>68</c:v>
                </c:pt>
                <c:pt idx="7">
                  <c:v>70</c:v>
                </c:pt>
              </c:numCache>
            </c:numRef>
          </c:xVal>
          <c:yVal>
            <c:numRef>
              <c:f>'Кристалл Судьбы'!$I$139:$P$139</c:f>
              <c:numCache>
                <c:formatCode>General</c:formatCode>
                <c:ptCount val="8"/>
                <c:pt idx="0">
                  <c:v>0</c:v>
                </c:pt>
                <c:pt idx="1">
                  <c:v>3</c:v>
                </c:pt>
                <c:pt idx="2">
                  <c:v>6</c:v>
                </c:pt>
                <c:pt idx="3">
                  <c:v>1</c:v>
                </c:pt>
                <c:pt idx="4">
                  <c:v>9</c:v>
                </c:pt>
                <c:pt idx="5">
                  <c:v>9</c:v>
                </c:pt>
                <c:pt idx="6">
                  <c:v>8</c:v>
                </c:pt>
                <c:pt idx="7">
                  <c:v>0</c:v>
                </c:pt>
              </c:numCache>
            </c:numRef>
          </c:yVal>
          <c:smooth val="0"/>
          <c:extLst>
            <c:ext xmlns:c16="http://schemas.microsoft.com/office/drawing/2014/chart" uri="{C3380CC4-5D6E-409C-BE32-E72D297353CC}">
              <c16:uniqueId val="{0000000A-D95A-4FB6-8570-0F3CCE26AC81}"/>
            </c:ext>
          </c:extLst>
        </c:ser>
        <c:dLbls>
          <c:showLegendKey val="0"/>
          <c:showVal val="0"/>
          <c:showCatName val="0"/>
          <c:showSerName val="0"/>
          <c:showPercent val="0"/>
          <c:showBubbleSize val="0"/>
        </c:dLbls>
        <c:axId val="28867584"/>
        <c:axId val="28890240"/>
      </c:scatterChart>
      <c:scatterChart>
        <c:scatterStyle val="lineMarker"/>
        <c:varyColors val="0"/>
        <c:ser>
          <c:idx val="2"/>
          <c:order val="4"/>
          <c:tx>
            <c:v>Возраст</c:v>
          </c:tx>
          <c:spPr>
            <a:ln w="19050" cap="rnd">
              <a:solidFill>
                <a:srgbClr val="FF0000"/>
              </a:solidFill>
              <a:prstDash val="dash"/>
              <a:round/>
            </a:ln>
            <a:effectLst/>
          </c:spPr>
          <c:marker>
            <c:symbol val="none"/>
          </c:marker>
          <c:dLbls>
            <c:dLbl>
              <c:idx val="0"/>
              <c:layout>
                <c:manualLayout>
                  <c:x val="-3.0732857659680798E-2"/>
                  <c:y val="-0.36383207750269098"/>
                </c:manualLayout>
              </c:layout>
              <c:showLegendKey val="0"/>
              <c:showVal val="0"/>
              <c:showCatName val="1"/>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4-D95A-4FB6-8570-0F3CCE26AC81}"/>
                </c:ext>
              </c:extLst>
            </c:dLbl>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15-D95A-4FB6-8570-0F3CCE26AC81}"/>
            </c:ext>
          </c:extLst>
        </c:ser>
        <c:dLbls>
          <c:showLegendKey val="0"/>
          <c:showVal val="0"/>
          <c:showCatName val="0"/>
          <c:showSerName val="0"/>
          <c:showPercent val="0"/>
          <c:showBubbleSize val="0"/>
        </c:dLbls>
        <c:axId val="29172480"/>
        <c:axId val="28892160"/>
      </c:scatterChart>
      <c:valAx>
        <c:axId val="2886758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8890240"/>
        <c:crosses val="autoZero"/>
        <c:crossBetween val="midCat"/>
      </c:valAx>
      <c:valAx>
        <c:axId val="28890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8867584"/>
        <c:crosses val="autoZero"/>
        <c:crossBetween val="midCat"/>
      </c:valAx>
      <c:valAx>
        <c:axId val="28892160"/>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172480"/>
        <c:crosses val="max"/>
        <c:crossBetween val="midCat"/>
      </c:valAx>
      <c:valAx>
        <c:axId val="29172480"/>
        <c:scaling>
          <c:orientation val="minMax"/>
        </c:scaling>
        <c:delete val="1"/>
        <c:axPos val="b"/>
        <c:numFmt formatCode="General" sourceLinked="1"/>
        <c:majorTickMark val="out"/>
        <c:minorTickMark val="none"/>
        <c:tickLblPos val="nextTo"/>
        <c:crossAx val="2889216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Кармы</a:t>
            </a:r>
            <a:r>
              <a:rPr lang="ru-RU" baseline="0"/>
              <a:t> и </a:t>
            </a:r>
            <a:r>
              <a:rPr lang="ru-RU"/>
              <a:t>Судьбы</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Карма</c:v>
          </c:tx>
          <c:spPr>
            <a:ln w="19050" cap="rnd">
              <a:solidFill>
                <a:srgbClr val="C00000"/>
              </a:solidFill>
              <a:round/>
            </a:ln>
            <a:effectLst/>
          </c:spPr>
          <c:marker>
            <c:symbol val="circle"/>
            <c:size val="5"/>
            <c:spPr>
              <a:solidFill>
                <a:srgbClr val="C00000"/>
              </a:solidFill>
              <a:ln w="9525">
                <a:solidFill>
                  <a:srgbClr val="C0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Судьбы'!$I$172:$P$172</c:f>
              <c:numCache>
                <c:formatCode>General</c:formatCode>
                <c:ptCount val="8"/>
                <c:pt idx="0">
                  <c:v>0</c:v>
                </c:pt>
                <c:pt idx="1">
                  <c:v>18</c:v>
                </c:pt>
                <c:pt idx="2">
                  <c:v>29</c:v>
                </c:pt>
                <c:pt idx="3">
                  <c:v>42</c:v>
                </c:pt>
                <c:pt idx="4">
                  <c:v>51</c:v>
                </c:pt>
                <c:pt idx="5">
                  <c:v>67</c:v>
                </c:pt>
                <c:pt idx="6">
                  <c:v>72</c:v>
                </c:pt>
                <c:pt idx="7">
                  <c:v>84</c:v>
                </c:pt>
              </c:numCache>
            </c:numRef>
          </c:xVal>
          <c:yVal>
            <c:numRef>
              <c:f>'Кристалл Судьбы'!$I$171:$P$171</c:f>
              <c:numCache>
                <c:formatCode>General</c:formatCode>
                <c:ptCount val="8"/>
                <c:pt idx="0">
                  <c:v>0</c:v>
                </c:pt>
                <c:pt idx="1">
                  <c:v>6</c:v>
                </c:pt>
                <c:pt idx="2">
                  <c:v>5</c:v>
                </c:pt>
                <c:pt idx="3">
                  <c:v>6</c:v>
                </c:pt>
                <c:pt idx="4">
                  <c:v>3</c:v>
                </c:pt>
                <c:pt idx="5">
                  <c:v>7</c:v>
                </c:pt>
                <c:pt idx="6">
                  <c:v>0</c:v>
                </c:pt>
                <c:pt idx="7">
                  <c:v>0</c:v>
                </c:pt>
              </c:numCache>
            </c:numRef>
          </c:yVal>
          <c:smooth val="0"/>
          <c:extLst>
            <c:ext xmlns:c16="http://schemas.microsoft.com/office/drawing/2014/chart" uri="{C3380CC4-5D6E-409C-BE32-E72D297353CC}">
              <c16:uniqueId val="{00000000-177C-4FE2-9549-ABD0D9BED7A0}"/>
            </c:ext>
          </c:extLst>
        </c:ser>
        <c:ser>
          <c:idx val="3"/>
          <c:order val="1"/>
          <c:tx>
            <c:v>Комфорт Карма</c:v>
          </c:tx>
          <c:spPr>
            <a:ln w="19050" cap="rnd">
              <a:solidFill>
                <a:schemeClr val="accent2"/>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177C-4FE2-9549-ABD0D9BED7A0}"/>
                </c:ext>
              </c:extLst>
            </c:dLbl>
            <c:dLbl>
              <c:idx val="1"/>
              <c:delete val="1"/>
              <c:extLst>
                <c:ext xmlns:c15="http://schemas.microsoft.com/office/drawing/2012/chart" uri="{CE6537A1-D6FC-4f65-9D91-7224C49458BB}"/>
                <c:ext xmlns:c16="http://schemas.microsoft.com/office/drawing/2014/chart" uri="{C3380CC4-5D6E-409C-BE32-E72D297353CC}">
                  <c16:uniqueId val="{00000002-177C-4FE2-9549-ABD0D9BED7A0}"/>
                </c:ext>
              </c:extLst>
            </c:dLbl>
            <c:dLbl>
              <c:idx val="2"/>
              <c:delete val="1"/>
              <c:extLst>
                <c:ext xmlns:c15="http://schemas.microsoft.com/office/drawing/2012/chart" uri="{CE6537A1-D6FC-4f65-9D91-7224C49458BB}"/>
                <c:ext xmlns:c16="http://schemas.microsoft.com/office/drawing/2014/chart" uri="{C3380CC4-5D6E-409C-BE32-E72D297353CC}">
                  <c16:uniqueId val="{00000003-177C-4FE2-9549-ABD0D9BED7A0}"/>
                </c:ext>
              </c:extLst>
            </c:dLbl>
            <c:dLbl>
              <c:idx val="3"/>
              <c:delete val="1"/>
              <c:extLst>
                <c:ext xmlns:c15="http://schemas.microsoft.com/office/drawing/2012/chart" uri="{CE6537A1-D6FC-4f65-9D91-7224C49458BB}"/>
                <c:ext xmlns:c16="http://schemas.microsoft.com/office/drawing/2014/chart" uri="{C3380CC4-5D6E-409C-BE32-E72D297353CC}">
                  <c16:uniqueId val="{00000004-177C-4FE2-9549-ABD0D9BED7A0}"/>
                </c:ext>
              </c:extLst>
            </c:dLbl>
            <c:dLbl>
              <c:idx val="4"/>
              <c:delete val="1"/>
              <c:extLst>
                <c:ext xmlns:c15="http://schemas.microsoft.com/office/drawing/2012/chart" uri="{CE6537A1-D6FC-4f65-9D91-7224C49458BB}"/>
                <c:ext xmlns:c16="http://schemas.microsoft.com/office/drawing/2014/chart" uri="{C3380CC4-5D6E-409C-BE32-E72D297353CC}">
                  <c16:uniqueId val="{00000005-177C-4FE2-9549-ABD0D9BED7A0}"/>
                </c:ext>
              </c:extLst>
            </c:dLbl>
            <c:dLbl>
              <c:idx val="5"/>
              <c:delete val="1"/>
              <c:extLst>
                <c:ext xmlns:c15="http://schemas.microsoft.com/office/drawing/2012/chart" uri="{CE6537A1-D6FC-4f65-9D91-7224C49458BB}"/>
                <c:ext xmlns:c16="http://schemas.microsoft.com/office/drawing/2014/chart" uri="{C3380CC4-5D6E-409C-BE32-E72D297353CC}">
                  <c16:uniqueId val="{00000006-177C-4FE2-9549-ABD0D9BED7A0}"/>
                </c:ext>
              </c:extLst>
            </c:dLbl>
            <c:dLbl>
              <c:idx val="6"/>
              <c:delete val="1"/>
              <c:extLst>
                <c:ext xmlns:c15="http://schemas.microsoft.com/office/drawing/2012/chart" uri="{CE6537A1-D6FC-4f65-9D91-7224C49458BB}"/>
                <c:ext xmlns:c16="http://schemas.microsoft.com/office/drawing/2014/chart" uri="{C3380CC4-5D6E-409C-BE32-E72D297353CC}">
                  <c16:uniqueId val="{00000007-177C-4FE2-9549-ABD0D9BED7A0}"/>
                </c:ext>
              </c:extLst>
            </c:dLbl>
            <c:dLbl>
              <c:idx val="7"/>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177C-4FE2-9549-ABD0D9BED7A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Судьбы'!$I$172:$P$172</c:f>
              <c:numCache>
                <c:formatCode>General</c:formatCode>
                <c:ptCount val="8"/>
                <c:pt idx="0">
                  <c:v>0</c:v>
                </c:pt>
                <c:pt idx="1">
                  <c:v>18</c:v>
                </c:pt>
                <c:pt idx="2">
                  <c:v>29</c:v>
                </c:pt>
                <c:pt idx="3">
                  <c:v>42</c:v>
                </c:pt>
                <c:pt idx="4">
                  <c:v>51</c:v>
                </c:pt>
                <c:pt idx="5">
                  <c:v>67</c:v>
                </c:pt>
                <c:pt idx="6">
                  <c:v>72</c:v>
                </c:pt>
                <c:pt idx="7">
                  <c:v>84</c:v>
                </c:pt>
              </c:numCache>
            </c:numRef>
          </c:xVal>
          <c:yVal>
            <c:numRef>
              <c:f>'Кристалл Судьбы'!$I$173:$P$173</c:f>
              <c:numCache>
                <c:formatCode>General</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9-177C-4FE2-9549-ABD0D9BED7A0}"/>
            </c:ext>
          </c:extLst>
        </c:ser>
        <c:ser>
          <c:idx val="5"/>
          <c:order val="2"/>
          <c:tx>
            <c:v>Пересечение Карма</c:v>
          </c:tx>
          <c:spPr>
            <a:ln w="25400" cap="rnd">
              <a:noFill/>
              <a:round/>
            </a:ln>
            <a:effectLst/>
          </c:spPr>
          <c:marker>
            <c:symbol val="square"/>
            <c:size val="5"/>
            <c:spPr>
              <a:solidFill>
                <a:srgbClr val="C00000"/>
              </a:solidFill>
              <a:ln w="9525">
                <a:solidFill>
                  <a:srgbClr val="C00000"/>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A342-4D01-8E8C-B7D8FAA66C0C}"/>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Судьбы'!$I$174:$P$174</c:f>
              <c:numCache>
                <c:formatCode>0.00</c:formatCode>
                <c:ptCount val="8"/>
                <c:pt idx="0" formatCode="General">
                  <c:v>0</c:v>
                </c:pt>
                <c:pt idx="1">
                  <c:v>11.571428298950195</c:v>
                </c:pt>
                <c:pt idx="2">
                  <c:v>0</c:v>
                </c:pt>
                <c:pt idx="3">
                  <c:v>0</c:v>
                </c:pt>
                <c:pt idx="4">
                  <c:v>48.428569793701172</c:v>
                </c:pt>
                <c:pt idx="5">
                  <c:v>54.428573608398438</c:v>
                </c:pt>
                <c:pt idx="6">
                  <c:v>69.244895935058594</c:v>
                </c:pt>
                <c:pt idx="7">
                  <c:v>0</c:v>
                </c:pt>
              </c:numCache>
            </c:numRef>
          </c:xVal>
          <c:yVal>
            <c:numRef>
              <c:f>'Кристалл Судьбы'!$I$173:$P$173</c:f>
              <c:numCache>
                <c:formatCode>General</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0-01DA-41D8-A058-0B64C8FA544D}"/>
            </c:ext>
          </c:extLst>
        </c:ser>
        <c:ser>
          <c:idx val="1"/>
          <c:order val="3"/>
          <c:tx>
            <c:v>Судьба</c:v>
          </c:tx>
          <c:spPr>
            <a:ln w="19050" cap="rnd">
              <a:solidFill>
                <a:srgbClr val="0070C0"/>
              </a:solidFill>
              <a:round/>
            </a:ln>
            <a:effectLst/>
          </c:spPr>
          <c:marker>
            <c:symbol val="triangle"/>
            <c:size val="7"/>
            <c:spPr>
              <a:solidFill>
                <a:srgbClr val="0070C0"/>
              </a:solidFill>
              <a:ln w="9525">
                <a:solidFill>
                  <a:srgbClr val="0070C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Судьбы'!$I$178:$P$178</c:f>
              <c:numCache>
                <c:formatCode>General</c:formatCode>
                <c:ptCount val="8"/>
                <c:pt idx="0">
                  <c:v>0</c:v>
                </c:pt>
                <c:pt idx="1">
                  <c:v>17</c:v>
                </c:pt>
                <c:pt idx="2">
                  <c:v>25</c:v>
                </c:pt>
                <c:pt idx="3">
                  <c:v>44</c:v>
                </c:pt>
                <c:pt idx="4">
                  <c:v>53</c:v>
                </c:pt>
                <c:pt idx="5">
                  <c:v>63</c:v>
                </c:pt>
                <c:pt idx="6">
                  <c:v>74</c:v>
                </c:pt>
                <c:pt idx="7">
                  <c:v>87</c:v>
                </c:pt>
              </c:numCache>
            </c:numRef>
          </c:xVal>
          <c:yVal>
            <c:numRef>
              <c:f>'Кристалл Судьбы'!$I$177:$P$177</c:f>
              <c:numCache>
                <c:formatCode>General</c:formatCode>
                <c:ptCount val="8"/>
                <c:pt idx="0">
                  <c:v>0</c:v>
                </c:pt>
                <c:pt idx="1">
                  <c:v>5</c:v>
                </c:pt>
                <c:pt idx="2">
                  <c:v>1</c:v>
                </c:pt>
                <c:pt idx="3">
                  <c:v>8</c:v>
                </c:pt>
                <c:pt idx="4">
                  <c:v>5</c:v>
                </c:pt>
                <c:pt idx="5">
                  <c:v>3</c:v>
                </c:pt>
                <c:pt idx="6">
                  <c:v>2</c:v>
                </c:pt>
                <c:pt idx="7">
                  <c:v>3</c:v>
                </c:pt>
              </c:numCache>
            </c:numRef>
          </c:yVal>
          <c:smooth val="0"/>
          <c:extLst>
            <c:ext xmlns:c16="http://schemas.microsoft.com/office/drawing/2014/chart" uri="{C3380CC4-5D6E-409C-BE32-E72D297353CC}">
              <c16:uniqueId val="{0000000A-177C-4FE2-9549-ABD0D9BED7A0}"/>
            </c:ext>
          </c:extLst>
        </c:ser>
        <c:ser>
          <c:idx val="4"/>
          <c:order val="4"/>
          <c:tx>
            <c:v>Комфорт Судьба</c:v>
          </c:tx>
          <c:spPr>
            <a:ln w="19050" cap="rnd">
              <a:solidFill>
                <a:schemeClr val="accent4"/>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177C-4FE2-9549-ABD0D9BED7A0}"/>
                </c:ext>
              </c:extLst>
            </c:dLbl>
            <c:dLbl>
              <c:idx val="1"/>
              <c:delete val="1"/>
              <c:extLst>
                <c:ext xmlns:c15="http://schemas.microsoft.com/office/drawing/2012/chart" uri="{CE6537A1-D6FC-4f65-9D91-7224C49458BB}"/>
                <c:ext xmlns:c16="http://schemas.microsoft.com/office/drawing/2014/chart" uri="{C3380CC4-5D6E-409C-BE32-E72D297353CC}">
                  <c16:uniqueId val="{0000000C-177C-4FE2-9549-ABD0D9BED7A0}"/>
                </c:ext>
              </c:extLst>
            </c:dLbl>
            <c:dLbl>
              <c:idx val="2"/>
              <c:delete val="1"/>
              <c:extLst>
                <c:ext xmlns:c15="http://schemas.microsoft.com/office/drawing/2012/chart" uri="{CE6537A1-D6FC-4f65-9D91-7224C49458BB}"/>
                <c:ext xmlns:c16="http://schemas.microsoft.com/office/drawing/2014/chart" uri="{C3380CC4-5D6E-409C-BE32-E72D297353CC}">
                  <c16:uniqueId val="{0000000D-177C-4FE2-9549-ABD0D9BED7A0}"/>
                </c:ext>
              </c:extLst>
            </c:dLbl>
            <c:dLbl>
              <c:idx val="3"/>
              <c:delete val="1"/>
              <c:extLst>
                <c:ext xmlns:c15="http://schemas.microsoft.com/office/drawing/2012/chart" uri="{CE6537A1-D6FC-4f65-9D91-7224C49458BB}"/>
                <c:ext xmlns:c16="http://schemas.microsoft.com/office/drawing/2014/chart" uri="{C3380CC4-5D6E-409C-BE32-E72D297353CC}">
                  <c16:uniqueId val="{0000000E-177C-4FE2-9549-ABD0D9BED7A0}"/>
                </c:ext>
              </c:extLst>
            </c:dLbl>
            <c:dLbl>
              <c:idx val="4"/>
              <c:delete val="1"/>
              <c:extLst>
                <c:ext xmlns:c15="http://schemas.microsoft.com/office/drawing/2012/chart" uri="{CE6537A1-D6FC-4f65-9D91-7224C49458BB}"/>
                <c:ext xmlns:c16="http://schemas.microsoft.com/office/drawing/2014/chart" uri="{C3380CC4-5D6E-409C-BE32-E72D297353CC}">
                  <c16:uniqueId val="{0000000F-177C-4FE2-9549-ABD0D9BED7A0}"/>
                </c:ext>
              </c:extLst>
            </c:dLbl>
            <c:dLbl>
              <c:idx val="5"/>
              <c:delete val="1"/>
              <c:extLst>
                <c:ext xmlns:c15="http://schemas.microsoft.com/office/drawing/2012/chart" uri="{CE6537A1-D6FC-4f65-9D91-7224C49458BB}"/>
                <c:ext xmlns:c16="http://schemas.microsoft.com/office/drawing/2014/chart" uri="{C3380CC4-5D6E-409C-BE32-E72D297353CC}">
                  <c16:uniqueId val="{00000010-177C-4FE2-9549-ABD0D9BED7A0}"/>
                </c:ext>
              </c:extLst>
            </c:dLbl>
            <c:dLbl>
              <c:idx val="6"/>
              <c:delete val="1"/>
              <c:extLst>
                <c:ext xmlns:c15="http://schemas.microsoft.com/office/drawing/2012/chart" uri="{CE6537A1-D6FC-4f65-9D91-7224C49458BB}"/>
                <c:ext xmlns:c16="http://schemas.microsoft.com/office/drawing/2014/chart" uri="{C3380CC4-5D6E-409C-BE32-E72D297353CC}">
                  <c16:uniqueId val="{00000011-177C-4FE2-9549-ABD0D9BED7A0}"/>
                </c:ext>
              </c:extLst>
            </c:dLbl>
            <c:dLbl>
              <c:idx val="7"/>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2-177C-4FE2-9549-ABD0D9BED7A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Судьбы'!$I$178:$P$178</c:f>
              <c:numCache>
                <c:formatCode>General</c:formatCode>
                <c:ptCount val="8"/>
                <c:pt idx="0">
                  <c:v>0</c:v>
                </c:pt>
                <c:pt idx="1">
                  <c:v>17</c:v>
                </c:pt>
                <c:pt idx="2">
                  <c:v>25</c:v>
                </c:pt>
                <c:pt idx="3">
                  <c:v>44</c:v>
                </c:pt>
                <c:pt idx="4">
                  <c:v>53</c:v>
                </c:pt>
                <c:pt idx="5">
                  <c:v>63</c:v>
                </c:pt>
                <c:pt idx="6">
                  <c:v>74</c:v>
                </c:pt>
                <c:pt idx="7">
                  <c:v>87</c:v>
                </c:pt>
              </c:numCache>
            </c:numRef>
          </c:xVal>
          <c:yVal>
            <c:numRef>
              <c:f>'Кристалл Судьбы'!$I$179:$P$179</c:f>
              <c:numCache>
                <c:formatCode>General</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13-177C-4FE2-9549-ABD0D9BED7A0}"/>
            </c:ext>
          </c:extLst>
        </c:ser>
        <c:ser>
          <c:idx val="6"/>
          <c:order val="5"/>
          <c:tx>
            <c:v>Пересечение Судьба</c:v>
          </c:tx>
          <c:spPr>
            <a:ln w="25400" cap="rnd">
              <a:noFill/>
              <a:round/>
            </a:ln>
            <a:effectLst/>
          </c:spPr>
          <c:marker>
            <c:symbol val="square"/>
            <c:size val="5"/>
            <c:spPr>
              <a:solidFill>
                <a:schemeClr val="accent1">
                  <a:lumMod val="60000"/>
                </a:schemeClr>
              </a:solidFill>
              <a:ln w="9525">
                <a:solidFill>
                  <a:srgbClr val="0070C0"/>
                </a:solidFill>
              </a:ln>
              <a:effectLst/>
            </c:spPr>
          </c:marker>
          <c:dLbls>
            <c:dLbl>
              <c:idx val="7"/>
              <c:layout>
                <c:manualLayout>
                  <c:x val="-3.17375518268945E-2"/>
                  <c:y val="-3.8543897216274103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C06-4AE8-9747-2856D5E98704}"/>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Судьбы'!$I$180:$P$180</c:f>
              <c:numCache>
                <c:formatCode>0.00</c:formatCode>
                <c:ptCount val="8"/>
                <c:pt idx="0" formatCode="General">
                  <c:v>0</c:v>
                </c:pt>
                <c:pt idx="1">
                  <c:v>13.114286422729492</c:v>
                </c:pt>
                <c:pt idx="2">
                  <c:v>19.285713195800781</c:v>
                </c:pt>
                <c:pt idx="3">
                  <c:v>32.755104064941406</c:v>
                </c:pt>
                <c:pt idx="4">
                  <c:v>0</c:v>
                </c:pt>
                <c:pt idx="5">
                  <c:v>58.714286804199219</c:v>
                </c:pt>
                <c:pt idx="6">
                  <c:v>0</c:v>
                </c:pt>
                <c:pt idx="7">
                  <c:v>0</c:v>
                </c:pt>
              </c:numCache>
            </c:numRef>
          </c:xVal>
          <c:yVal>
            <c:numRef>
              <c:f>'Кристалл Судьбы'!$I$179:$P$179</c:f>
              <c:numCache>
                <c:formatCode>General</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1-01DA-41D8-A058-0B64C8FA544D}"/>
            </c:ext>
          </c:extLst>
        </c:ser>
        <c:dLbls>
          <c:showLegendKey val="0"/>
          <c:showVal val="0"/>
          <c:showCatName val="0"/>
          <c:showSerName val="0"/>
          <c:showPercent val="0"/>
          <c:showBubbleSize val="0"/>
        </c:dLbls>
        <c:axId val="29267456"/>
        <c:axId val="29269376"/>
      </c:scatterChart>
      <c:scatterChart>
        <c:scatterStyle val="lineMarker"/>
        <c:varyColors val="0"/>
        <c:ser>
          <c:idx val="2"/>
          <c:order val="6"/>
          <c:tx>
            <c:v>Возраст</c:v>
          </c:tx>
          <c:spPr>
            <a:ln w="19050" cap="rnd">
              <a:solidFill>
                <a:srgbClr val="FF0000"/>
              </a:solidFill>
              <a:prstDash val="dash"/>
              <a:round/>
            </a:ln>
            <a:effectLst/>
          </c:spPr>
          <c:marker>
            <c:symbol val="none"/>
          </c:marker>
          <c:dLbls>
            <c:dLbl>
              <c:idx val="0"/>
              <c:layout>
                <c:manualLayout>
                  <c:x val="-3.78642195051416E-2"/>
                  <c:y val="-0.3745963401506999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14-177C-4FE2-9549-ABD0D9BED7A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15-177C-4FE2-9549-ABD0D9BED7A0}"/>
            </c:ext>
          </c:extLst>
        </c:ser>
        <c:dLbls>
          <c:showLegendKey val="0"/>
          <c:showVal val="0"/>
          <c:showCatName val="0"/>
          <c:showSerName val="0"/>
          <c:showPercent val="0"/>
          <c:showBubbleSize val="0"/>
        </c:dLbls>
        <c:axId val="29293568"/>
        <c:axId val="29292032"/>
      </c:scatterChart>
      <c:valAx>
        <c:axId val="292674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269376"/>
        <c:crosses val="autoZero"/>
        <c:crossBetween val="midCat"/>
      </c:valAx>
      <c:valAx>
        <c:axId val="292693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267456"/>
        <c:crosses val="autoZero"/>
        <c:crossBetween val="midCat"/>
      </c:valAx>
      <c:valAx>
        <c:axId val="29292032"/>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293568"/>
        <c:crosses val="max"/>
        <c:crossBetween val="midCat"/>
      </c:valAx>
      <c:valAx>
        <c:axId val="29293568"/>
        <c:scaling>
          <c:orientation val="minMax"/>
        </c:scaling>
        <c:delete val="1"/>
        <c:axPos val="b"/>
        <c:numFmt formatCode="General" sourceLinked="1"/>
        <c:majorTickMark val="out"/>
        <c:minorTickMark val="none"/>
        <c:tickLblPos val="nextTo"/>
        <c:crossAx val="292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Финансовых Потоков</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Основной Поток</c:v>
          </c:tx>
          <c:spPr>
            <a:ln w="19050" cap="rnd">
              <a:solidFill>
                <a:srgbClr val="00B0F0"/>
              </a:solidFill>
              <a:round/>
            </a:ln>
            <a:effectLst/>
          </c:spPr>
          <c:marker>
            <c:symbol val="circle"/>
            <c:size val="5"/>
            <c:spPr>
              <a:solidFill>
                <a:srgbClr val="00B0F0"/>
              </a:solidFill>
              <a:ln w="9525">
                <a:solidFill>
                  <a:srgbClr val="00B0F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Судьбы'!$H$220:$O$220</c:f>
              <c:numCache>
                <c:formatCode>0</c:formatCode>
                <c:ptCount val="8"/>
                <c:pt idx="0">
                  <c:v>0</c:v>
                </c:pt>
                <c:pt idx="1">
                  <c:v>15</c:v>
                </c:pt>
                <c:pt idx="2">
                  <c:v>21</c:v>
                </c:pt>
                <c:pt idx="3">
                  <c:v>32</c:v>
                </c:pt>
                <c:pt idx="4">
                  <c:v>44</c:v>
                </c:pt>
                <c:pt idx="5">
                  <c:v>55</c:v>
                </c:pt>
                <c:pt idx="6">
                  <c:v>68</c:v>
                </c:pt>
                <c:pt idx="7">
                  <c:v>72</c:v>
                </c:pt>
              </c:numCache>
            </c:numRef>
          </c:xVal>
          <c:yVal>
            <c:numRef>
              <c:f>'Кристалл Судьбы'!$H$219:$O$219</c:f>
              <c:numCache>
                <c:formatCode>General</c:formatCode>
                <c:ptCount val="8"/>
                <c:pt idx="0">
                  <c:v>0</c:v>
                </c:pt>
                <c:pt idx="1">
                  <c:v>5</c:v>
                </c:pt>
                <c:pt idx="2">
                  <c:v>1</c:v>
                </c:pt>
                <c:pt idx="3">
                  <c:v>2</c:v>
                </c:pt>
                <c:pt idx="4">
                  <c:v>4</c:v>
                </c:pt>
                <c:pt idx="5">
                  <c:v>5</c:v>
                </c:pt>
                <c:pt idx="6">
                  <c:v>8</c:v>
                </c:pt>
                <c:pt idx="7">
                  <c:v>2</c:v>
                </c:pt>
              </c:numCache>
            </c:numRef>
          </c:yVal>
          <c:smooth val="0"/>
          <c:extLst>
            <c:ext xmlns:c16="http://schemas.microsoft.com/office/drawing/2014/chart" uri="{C3380CC4-5D6E-409C-BE32-E72D297353CC}">
              <c16:uniqueId val="{00000000-DD51-439D-86C4-5652DBEBFC6B}"/>
            </c:ext>
          </c:extLst>
        </c:ser>
        <c:ser>
          <c:idx val="4"/>
          <c:order val="1"/>
          <c:tx>
            <c:v>Уровень Комфорта</c:v>
          </c:tx>
          <c:spPr>
            <a:ln w="19050" cap="rnd">
              <a:solidFill>
                <a:srgbClr val="FFC000"/>
              </a:solidFill>
              <a:prstDash val="dash"/>
              <a:round/>
            </a:ln>
            <a:effectLst/>
          </c:spPr>
          <c:marker>
            <c:symbol val="none"/>
          </c:marker>
          <c:dLbls>
            <c:dLbl>
              <c:idx val="7"/>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DD51-439D-86C4-5652DBEBFC6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Судьбы'!$H$220:$O$220</c:f>
              <c:numCache>
                <c:formatCode>0</c:formatCode>
                <c:ptCount val="8"/>
                <c:pt idx="0">
                  <c:v>0</c:v>
                </c:pt>
                <c:pt idx="1">
                  <c:v>15</c:v>
                </c:pt>
                <c:pt idx="2">
                  <c:v>21</c:v>
                </c:pt>
                <c:pt idx="3">
                  <c:v>32</c:v>
                </c:pt>
                <c:pt idx="4">
                  <c:v>44</c:v>
                </c:pt>
                <c:pt idx="5">
                  <c:v>55</c:v>
                </c:pt>
                <c:pt idx="6">
                  <c:v>68</c:v>
                </c:pt>
                <c:pt idx="7">
                  <c:v>72</c:v>
                </c:pt>
              </c:numCache>
            </c:numRef>
          </c:xVal>
          <c:yVal>
            <c:numRef>
              <c:f>'Кристалл Судьбы'!$H$221:$O$221</c:f>
              <c:numCache>
                <c:formatCode>0.00</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13-DD51-439D-86C4-5652DBEBFC6B}"/>
            </c:ext>
          </c:extLst>
        </c:ser>
        <c:ser>
          <c:idx val="3"/>
          <c:order val="2"/>
          <c:tx>
            <c:v>Пересечение Основной</c:v>
          </c:tx>
          <c:spPr>
            <a:ln w="25400" cap="rnd">
              <a:noFill/>
              <a:round/>
            </a:ln>
            <a:effectLst/>
          </c:spPr>
          <c:marker>
            <c:symbol val="square"/>
            <c:size val="5"/>
            <c:spPr>
              <a:solidFill>
                <a:srgbClr val="00B0F0"/>
              </a:solidFill>
              <a:ln w="9525">
                <a:solidFill>
                  <a:srgbClr val="00B0F0"/>
                </a:solidFill>
              </a:ln>
              <a:effectLst/>
            </c:spPr>
          </c:marker>
          <c:dLbls>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Судьбы'!$H$222:$O$222</c:f>
              <c:numCache>
                <c:formatCode>0.00</c:formatCode>
                <c:ptCount val="8"/>
                <c:pt idx="0" formatCode="General">
                  <c:v>0</c:v>
                </c:pt>
                <c:pt idx="1">
                  <c:v>11.571428298950195</c:v>
                </c:pt>
                <c:pt idx="2">
                  <c:v>16.714284896850586</c:v>
                </c:pt>
                <c:pt idx="3">
                  <c:v>0</c:v>
                </c:pt>
                <c:pt idx="4">
                  <c:v>43.142856597900391</c:v>
                </c:pt>
                <c:pt idx="5">
                  <c:v>0</c:v>
                </c:pt>
                <c:pt idx="6">
                  <c:v>0</c:v>
                </c:pt>
                <c:pt idx="7">
                  <c:v>70.76190185546875</c:v>
                </c:pt>
              </c:numCache>
            </c:numRef>
          </c:xVal>
          <c:yVal>
            <c:numRef>
              <c:f>'Кристалл Судьбы'!$H$221:$O$221</c:f>
              <c:numCache>
                <c:formatCode>0.00</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0-F9E2-4A6D-A23E-79F4E95B03DE}"/>
            </c:ext>
          </c:extLst>
        </c:ser>
        <c:ser>
          <c:idx val="1"/>
          <c:order val="3"/>
          <c:tx>
            <c:v>Второй поток</c:v>
          </c:tx>
          <c:spPr>
            <a:ln w="19050" cap="rnd">
              <a:solidFill>
                <a:srgbClr val="92D050"/>
              </a:solidFill>
              <a:round/>
            </a:ln>
            <a:effectLst/>
          </c:spPr>
          <c:marker>
            <c:symbol val="triangle"/>
            <c:size val="7"/>
            <c:spPr>
              <a:solidFill>
                <a:srgbClr val="92D050"/>
              </a:solidFill>
              <a:ln w="9525">
                <a:solidFill>
                  <a:srgbClr val="92D05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Судьбы'!$H$226:$O$226</c:f>
              <c:numCache>
                <c:formatCode>0</c:formatCode>
                <c:ptCount val="8"/>
                <c:pt idx="0">
                  <c:v>0</c:v>
                </c:pt>
                <c:pt idx="1">
                  <c:v>12</c:v>
                </c:pt>
                <c:pt idx="2">
                  <c:v>28</c:v>
                </c:pt>
                <c:pt idx="3">
                  <c:v>35</c:v>
                </c:pt>
                <c:pt idx="4">
                  <c:v>44</c:v>
                </c:pt>
                <c:pt idx="5">
                  <c:v>52</c:v>
                </c:pt>
                <c:pt idx="6">
                  <c:v>61</c:v>
                </c:pt>
                <c:pt idx="7">
                  <c:v>75</c:v>
                </c:pt>
              </c:numCache>
            </c:numRef>
          </c:xVal>
          <c:yVal>
            <c:numRef>
              <c:f>'Кристалл Судьбы'!$H$225:$O$225</c:f>
              <c:numCache>
                <c:formatCode>General</c:formatCode>
                <c:ptCount val="8"/>
                <c:pt idx="0">
                  <c:v>0</c:v>
                </c:pt>
                <c:pt idx="1">
                  <c:v>2</c:v>
                </c:pt>
                <c:pt idx="2">
                  <c:v>8</c:v>
                </c:pt>
                <c:pt idx="3">
                  <c:v>5</c:v>
                </c:pt>
                <c:pt idx="4">
                  <c:v>4</c:v>
                </c:pt>
                <c:pt idx="5">
                  <c:v>2</c:v>
                </c:pt>
                <c:pt idx="6">
                  <c:v>1</c:v>
                </c:pt>
                <c:pt idx="7">
                  <c:v>5</c:v>
                </c:pt>
              </c:numCache>
            </c:numRef>
          </c:yVal>
          <c:smooth val="0"/>
          <c:extLst>
            <c:ext xmlns:c16="http://schemas.microsoft.com/office/drawing/2014/chart" uri="{C3380CC4-5D6E-409C-BE32-E72D297353CC}">
              <c16:uniqueId val="{0000000A-DD51-439D-86C4-5652DBEBFC6B}"/>
            </c:ext>
          </c:extLst>
        </c:ser>
        <c:ser>
          <c:idx val="5"/>
          <c:order val="4"/>
          <c:tx>
            <c:v>Пересечения Второй</c:v>
          </c:tx>
          <c:spPr>
            <a:ln w="25400" cap="rnd">
              <a:noFill/>
              <a:round/>
            </a:ln>
            <a:effectLst/>
          </c:spPr>
          <c:marker>
            <c:symbol val="square"/>
            <c:size val="5"/>
            <c:spPr>
              <a:solidFill>
                <a:srgbClr val="92D050"/>
              </a:solidFill>
              <a:ln w="9525">
                <a:solidFill>
                  <a:srgbClr val="92D050"/>
                </a:solidFill>
              </a:ln>
              <a:effectLst/>
            </c:spPr>
          </c:marker>
          <c:dLbls>
            <c:dLbl>
              <c:idx val="7"/>
              <c:layout>
                <c:manualLayout>
                  <c:x val="-8.6835389212782996E-17"/>
                  <c:y val="-3.0139935414424099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AF6-41A3-955F-89394B3D08C1}"/>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Судьбы'!$H$228:$O$228</c:f>
              <c:numCache>
                <c:formatCode>0.00</c:formatCode>
                <c:ptCount val="8"/>
                <c:pt idx="0" formatCode="General">
                  <c:v>0</c:v>
                </c:pt>
                <c:pt idx="1">
                  <c:v>0</c:v>
                </c:pt>
                <c:pt idx="2">
                  <c:v>16.952381134033203</c:v>
                </c:pt>
                <c:pt idx="3">
                  <c:v>0</c:v>
                </c:pt>
                <c:pt idx="4">
                  <c:v>0</c:v>
                </c:pt>
                <c:pt idx="5">
                  <c:v>44.571426391601563</c:v>
                </c:pt>
                <c:pt idx="6">
                  <c:v>0</c:v>
                </c:pt>
                <c:pt idx="7">
                  <c:v>71</c:v>
                </c:pt>
              </c:numCache>
            </c:numRef>
          </c:xVal>
          <c:yVal>
            <c:numRef>
              <c:f>'Кристалл Судьбы'!$H$227:$O$227</c:f>
              <c:numCache>
                <c:formatCode>0.00</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1-F9E2-4A6D-A23E-79F4E95B03DE}"/>
            </c:ext>
          </c:extLst>
        </c:ser>
        <c:dLbls>
          <c:showLegendKey val="0"/>
          <c:showVal val="0"/>
          <c:showCatName val="0"/>
          <c:showSerName val="0"/>
          <c:showPercent val="0"/>
          <c:showBubbleSize val="0"/>
        </c:dLbls>
        <c:axId val="29400064"/>
        <c:axId val="29418624"/>
      </c:scatterChart>
      <c:scatterChart>
        <c:scatterStyle val="lineMarker"/>
        <c:varyColors val="0"/>
        <c:ser>
          <c:idx val="2"/>
          <c:order val="5"/>
          <c:tx>
            <c:v>Возраст</c:v>
          </c:tx>
          <c:spPr>
            <a:ln w="19050" cap="rnd">
              <a:solidFill>
                <a:srgbClr val="FF0000"/>
              </a:solidFill>
              <a:prstDash val="dash"/>
              <a:round/>
            </a:ln>
            <a:effectLst/>
          </c:spPr>
          <c:marker>
            <c:symbol val="none"/>
          </c:marker>
          <c:dLbls>
            <c:dLbl>
              <c:idx val="0"/>
              <c:layout>
                <c:manualLayout>
                  <c:x val="-3.3155713439905303E-2"/>
                  <c:y val="-0.4348762109795479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14-DD51-439D-86C4-5652DBEBFC6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15-DD51-439D-86C4-5652DBEBFC6B}"/>
            </c:ext>
          </c:extLst>
        </c:ser>
        <c:dLbls>
          <c:showLegendKey val="0"/>
          <c:showVal val="0"/>
          <c:showCatName val="0"/>
          <c:showSerName val="0"/>
          <c:showPercent val="0"/>
          <c:showBubbleSize val="0"/>
        </c:dLbls>
        <c:axId val="29426432"/>
        <c:axId val="29420544"/>
      </c:scatterChart>
      <c:valAx>
        <c:axId val="294000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418624"/>
        <c:crosses val="autoZero"/>
        <c:crossBetween val="midCat"/>
      </c:valAx>
      <c:valAx>
        <c:axId val="29418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400064"/>
        <c:crosses val="autoZero"/>
        <c:crossBetween val="midCat"/>
      </c:valAx>
      <c:valAx>
        <c:axId val="29420544"/>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426432"/>
        <c:crosses val="max"/>
        <c:crossBetween val="midCat"/>
      </c:valAx>
      <c:valAx>
        <c:axId val="29426432"/>
        <c:scaling>
          <c:orientation val="minMax"/>
        </c:scaling>
        <c:delete val="1"/>
        <c:axPos val="b"/>
        <c:numFmt formatCode="General" sourceLinked="1"/>
        <c:majorTickMark val="out"/>
        <c:minorTickMark val="none"/>
        <c:tickLblPos val="nextTo"/>
        <c:crossAx val="29420544"/>
        <c:crosses val="autoZero"/>
        <c:crossBetween val="midCat"/>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Самореализации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Самореализация</c:v>
          </c:tx>
          <c:spPr>
            <a:ln w="19050" cap="rnd">
              <a:solidFill>
                <a:srgbClr val="7030A0"/>
              </a:solidFill>
              <a:round/>
            </a:ln>
            <a:effectLst/>
          </c:spPr>
          <c:marker>
            <c:symbol val="circle"/>
            <c:size val="5"/>
            <c:spPr>
              <a:solidFill>
                <a:srgbClr val="7030A0"/>
              </a:solidFill>
              <a:ln w="9525">
                <a:solidFill>
                  <a:srgbClr val="7030A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Судьбы'!$H$257:$O$257</c:f>
              <c:numCache>
                <c:formatCode>0</c:formatCode>
                <c:ptCount val="8"/>
                <c:pt idx="0">
                  <c:v>0</c:v>
                </c:pt>
                <c:pt idx="1">
                  <c:v>14</c:v>
                </c:pt>
                <c:pt idx="2">
                  <c:v>22</c:v>
                </c:pt>
                <c:pt idx="3">
                  <c:v>34</c:v>
                </c:pt>
                <c:pt idx="4">
                  <c:v>40</c:v>
                </c:pt>
                <c:pt idx="5">
                  <c:v>55</c:v>
                </c:pt>
                <c:pt idx="6">
                  <c:v>64</c:v>
                </c:pt>
                <c:pt idx="7">
                  <c:v>78</c:v>
                </c:pt>
              </c:numCache>
            </c:numRef>
          </c:xVal>
          <c:yVal>
            <c:numRef>
              <c:f>'Кристалл Судьбы'!$H$256:$O$256</c:f>
              <c:numCache>
                <c:formatCode>General</c:formatCode>
                <c:ptCount val="8"/>
                <c:pt idx="0">
                  <c:v>0</c:v>
                </c:pt>
                <c:pt idx="1">
                  <c:v>4</c:v>
                </c:pt>
                <c:pt idx="2">
                  <c:v>2</c:v>
                </c:pt>
                <c:pt idx="3">
                  <c:v>4</c:v>
                </c:pt>
                <c:pt idx="4">
                  <c:v>0</c:v>
                </c:pt>
                <c:pt idx="5">
                  <c:v>5</c:v>
                </c:pt>
                <c:pt idx="6">
                  <c:v>4</c:v>
                </c:pt>
                <c:pt idx="7">
                  <c:v>8</c:v>
                </c:pt>
              </c:numCache>
            </c:numRef>
          </c:yVal>
          <c:smooth val="0"/>
          <c:extLst>
            <c:ext xmlns:c16="http://schemas.microsoft.com/office/drawing/2014/chart" uri="{C3380CC4-5D6E-409C-BE32-E72D297353CC}">
              <c16:uniqueId val="{00000000-987F-4638-AB3C-498AC836408F}"/>
            </c:ext>
          </c:extLst>
        </c:ser>
        <c:ser>
          <c:idx val="4"/>
          <c:order val="1"/>
          <c:tx>
            <c:v>Уровень Комфорта</c:v>
          </c:tx>
          <c:spPr>
            <a:ln w="19050" cap="rnd">
              <a:solidFill>
                <a:srgbClr val="FFC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2-987F-4638-AB3C-498AC836408F}"/>
                </c:ext>
              </c:extLst>
            </c:dLbl>
            <c:dLbl>
              <c:idx val="1"/>
              <c:delete val="1"/>
              <c:extLst>
                <c:ext xmlns:c15="http://schemas.microsoft.com/office/drawing/2012/chart" uri="{CE6537A1-D6FC-4f65-9D91-7224C49458BB}"/>
                <c:ext xmlns:c16="http://schemas.microsoft.com/office/drawing/2014/chart" uri="{C3380CC4-5D6E-409C-BE32-E72D297353CC}">
                  <c16:uniqueId val="{00000003-987F-4638-AB3C-498AC836408F}"/>
                </c:ext>
              </c:extLst>
            </c:dLbl>
            <c:dLbl>
              <c:idx val="2"/>
              <c:delete val="1"/>
              <c:extLst>
                <c:ext xmlns:c15="http://schemas.microsoft.com/office/drawing/2012/chart" uri="{CE6537A1-D6FC-4f65-9D91-7224C49458BB}"/>
                <c:ext xmlns:c16="http://schemas.microsoft.com/office/drawing/2014/chart" uri="{C3380CC4-5D6E-409C-BE32-E72D297353CC}">
                  <c16:uniqueId val="{00000004-987F-4638-AB3C-498AC836408F}"/>
                </c:ext>
              </c:extLst>
            </c:dLbl>
            <c:dLbl>
              <c:idx val="3"/>
              <c:delete val="1"/>
              <c:extLst>
                <c:ext xmlns:c15="http://schemas.microsoft.com/office/drawing/2012/chart" uri="{CE6537A1-D6FC-4f65-9D91-7224C49458BB}"/>
                <c:ext xmlns:c16="http://schemas.microsoft.com/office/drawing/2014/chart" uri="{C3380CC4-5D6E-409C-BE32-E72D297353CC}">
                  <c16:uniqueId val="{00000005-987F-4638-AB3C-498AC836408F}"/>
                </c:ext>
              </c:extLst>
            </c:dLbl>
            <c:dLbl>
              <c:idx val="4"/>
              <c:delete val="1"/>
              <c:extLst>
                <c:ext xmlns:c15="http://schemas.microsoft.com/office/drawing/2012/chart" uri="{CE6537A1-D6FC-4f65-9D91-7224C49458BB}"/>
                <c:ext xmlns:c16="http://schemas.microsoft.com/office/drawing/2014/chart" uri="{C3380CC4-5D6E-409C-BE32-E72D297353CC}">
                  <c16:uniqueId val="{00000006-987F-4638-AB3C-498AC836408F}"/>
                </c:ext>
              </c:extLst>
            </c:dLbl>
            <c:dLbl>
              <c:idx val="5"/>
              <c:delete val="1"/>
              <c:extLst>
                <c:ext xmlns:c15="http://schemas.microsoft.com/office/drawing/2012/chart" uri="{CE6537A1-D6FC-4f65-9D91-7224C49458BB}"/>
                <c:ext xmlns:c16="http://schemas.microsoft.com/office/drawing/2014/chart" uri="{C3380CC4-5D6E-409C-BE32-E72D297353CC}">
                  <c16:uniqueId val="{00000007-987F-4638-AB3C-498AC836408F}"/>
                </c:ext>
              </c:extLst>
            </c:dLbl>
            <c:dLbl>
              <c:idx val="6"/>
              <c:delete val="1"/>
              <c:extLst>
                <c:ext xmlns:c15="http://schemas.microsoft.com/office/drawing/2012/chart" uri="{CE6537A1-D6FC-4f65-9D91-7224C49458BB}"/>
                <c:ext xmlns:c16="http://schemas.microsoft.com/office/drawing/2014/chart" uri="{C3380CC4-5D6E-409C-BE32-E72D297353CC}">
                  <c16:uniqueId val="{00000008-987F-4638-AB3C-498AC836408F}"/>
                </c:ext>
              </c:extLst>
            </c:dLbl>
            <c:dLbl>
              <c:idx val="7"/>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987F-4638-AB3C-498AC836408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Судьбы'!$H$257:$O$257</c:f>
              <c:numCache>
                <c:formatCode>0</c:formatCode>
                <c:ptCount val="8"/>
                <c:pt idx="0">
                  <c:v>0</c:v>
                </c:pt>
                <c:pt idx="1">
                  <c:v>14</c:v>
                </c:pt>
                <c:pt idx="2">
                  <c:v>22</c:v>
                </c:pt>
                <c:pt idx="3">
                  <c:v>34</c:v>
                </c:pt>
                <c:pt idx="4">
                  <c:v>40</c:v>
                </c:pt>
                <c:pt idx="5">
                  <c:v>55</c:v>
                </c:pt>
                <c:pt idx="6">
                  <c:v>64</c:v>
                </c:pt>
                <c:pt idx="7">
                  <c:v>78</c:v>
                </c:pt>
              </c:numCache>
            </c:numRef>
          </c:xVal>
          <c:yVal>
            <c:numRef>
              <c:f>'Кристалл Судьбы'!$H$258:$O$258</c:f>
              <c:numCache>
                <c:formatCode>General</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A-987F-4638-AB3C-498AC836408F}"/>
            </c:ext>
          </c:extLst>
        </c:ser>
        <c:ser>
          <c:idx val="1"/>
          <c:order val="3"/>
          <c:tx>
            <c:v>Точки Пересечения</c:v>
          </c:tx>
          <c:spPr>
            <a:ln w="25400" cap="rnd">
              <a:noFill/>
              <a:round/>
            </a:ln>
            <a:effectLst/>
          </c:spPr>
          <c:marker>
            <c:symbol val="square"/>
            <c:size val="5"/>
            <c:spPr>
              <a:solidFill>
                <a:schemeClr val="accent2"/>
              </a:solidFill>
              <a:ln w="9525">
                <a:solidFill>
                  <a:schemeClr val="accent2"/>
                </a:solidFill>
              </a:ln>
              <a:effectLst/>
            </c:spPr>
          </c:marker>
          <c:dLbls>
            <c:dLbl>
              <c:idx val="1"/>
              <c:layout>
                <c:manualLayout>
                  <c:x val="-4.1388951766367803E-2"/>
                  <c:y val="-3.8751345532831001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63D-4E29-B6BB-322CAC4E6388}"/>
                </c:ext>
              </c:extLst>
            </c:dLbl>
            <c:dLbl>
              <c:idx val="2"/>
              <c:layout>
                <c:manualLayout>
                  <c:x val="7.0952488742344801E-3"/>
                  <c:y val="-3.0139935414424099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63D-4E29-B6BB-322CAC4E6388}"/>
                </c:ext>
              </c:extLst>
            </c:dLbl>
            <c:dLbl>
              <c:idx val="4"/>
              <c:layout>
                <c:manualLayout>
                  <c:x val="-4.6119117682524101E-2"/>
                  <c:y val="-3.2292787944025798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63D-4E29-B6BB-322CAC4E6388}"/>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Судьбы'!$H$259:$O$259</c:f>
              <c:numCache>
                <c:formatCode>0.00</c:formatCode>
                <c:ptCount val="8"/>
                <c:pt idx="0" formatCode="General">
                  <c:v>0</c:v>
                </c:pt>
                <c:pt idx="1">
                  <c:v>13.5</c:v>
                </c:pt>
                <c:pt idx="2">
                  <c:v>14.571428298950195</c:v>
                </c:pt>
                <c:pt idx="3">
                  <c:v>33.142856597900391</c:v>
                </c:pt>
                <c:pt idx="4">
                  <c:v>34.214286804199219</c:v>
                </c:pt>
                <c:pt idx="5">
                  <c:v>51.571430206298828</c:v>
                </c:pt>
                <c:pt idx="6">
                  <c:v>0</c:v>
                </c:pt>
                <c:pt idx="7">
                  <c:v>0</c:v>
                </c:pt>
              </c:numCache>
            </c:numRef>
          </c:xVal>
          <c:yVal>
            <c:numRef>
              <c:f>'Кристалл Судьбы'!$H$258:$O$258</c:f>
              <c:numCache>
                <c:formatCode>General</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0-863D-4E29-B6BB-322CAC4E6388}"/>
            </c:ext>
          </c:extLst>
        </c:ser>
        <c:dLbls>
          <c:showLegendKey val="0"/>
          <c:showVal val="0"/>
          <c:showCatName val="0"/>
          <c:showSerName val="0"/>
          <c:showPercent val="0"/>
          <c:showBubbleSize val="0"/>
        </c:dLbls>
        <c:axId val="29509120"/>
        <c:axId val="29511040"/>
      </c:scatterChart>
      <c:scatterChart>
        <c:scatterStyle val="lineMarker"/>
        <c:varyColors val="0"/>
        <c:ser>
          <c:idx val="2"/>
          <c:order val="2"/>
          <c:tx>
            <c:v>Возраст</c:v>
          </c:tx>
          <c:spPr>
            <a:ln w="19050" cap="rnd">
              <a:solidFill>
                <a:srgbClr val="FF0000"/>
              </a:solidFill>
              <a:prstDash val="dash"/>
              <a:round/>
            </a:ln>
            <a:effectLst/>
          </c:spPr>
          <c:marker>
            <c:symbol val="none"/>
          </c:marker>
          <c:dLbls>
            <c:dLbl>
              <c:idx val="0"/>
              <c:layout>
                <c:manualLayout>
                  <c:x val="-3.3540372670807499E-2"/>
                  <c:y val="-0.3702906350914960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B-987F-4638-AB3C-498AC836408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0C-987F-4638-AB3C-498AC836408F}"/>
            </c:ext>
          </c:extLst>
        </c:ser>
        <c:dLbls>
          <c:showLegendKey val="0"/>
          <c:showVal val="0"/>
          <c:showCatName val="0"/>
          <c:showSerName val="0"/>
          <c:showPercent val="0"/>
          <c:showBubbleSize val="0"/>
        </c:dLbls>
        <c:axId val="29539328"/>
        <c:axId val="29537792"/>
      </c:scatterChart>
      <c:valAx>
        <c:axId val="295091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511040"/>
        <c:crosses val="autoZero"/>
        <c:crossBetween val="midCat"/>
      </c:valAx>
      <c:valAx>
        <c:axId val="29511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509120"/>
        <c:crosses val="autoZero"/>
        <c:crossBetween val="midCat"/>
      </c:valAx>
      <c:valAx>
        <c:axId val="29537792"/>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539328"/>
        <c:crosses val="max"/>
        <c:crossBetween val="midCat"/>
      </c:valAx>
      <c:valAx>
        <c:axId val="29539328"/>
        <c:scaling>
          <c:orientation val="minMax"/>
        </c:scaling>
        <c:delete val="1"/>
        <c:axPos val="b"/>
        <c:numFmt formatCode="General" sourceLinked="1"/>
        <c:majorTickMark val="out"/>
        <c:minorTickMark val="none"/>
        <c:tickLblPos val="nextTo"/>
        <c:crossAx val="295377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Финансового Потока</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Финансовый поток</c:v>
          </c:tx>
          <c:spPr>
            <a:ln w="19050" cap="rnd">
              <a:solidFill>
                <a:srgbClr val="00B0F0"/>
              </a:solidFill>
              <a:round/>
            </a:ln>
            <a:effectLst/>
          </c:spPr>
          <c:marker>
            <c:symbol val="circle"/>
            <c:size val="5"/>
            <c:spPr>
              <a:solidFill>
                <a:srgbClr val="00B0F0"/>
              </a:solidFill>
              <a:ln w="9525">
                <a:solidFill>
                  <a:srgbClr val="00B0F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Судьбы'!$H$220:$O$220</c:f>
              <c:numCache>
                <c:formatCode>0</c:formatCode>
                <c:ptCount val="8"/>
                <c:pt idx="0">
                  <c:v>0</c:v>
                </c:pt>
                <c:pt idx="1">
                  <c:v>15</c:v>
                </c:pt>
                <c:pt idx="2">
                  <c:v>21</c:v>
                </c:pt>
                <c:pt idx="3">
                  <c:v>32</c:v>
                </c:pt>
                <c:pt idx="4">
                  <c:v>44</c:v>
                </c:pt>
                <c:pt idx="5">
                  <c:v>55</c:v>
                </c:pt>
                <c:pt idx="6">
                  <c:v>68</c:v>
                </c:pt>
                <c:pt idx="7">
                  <c:v>72</c:v>
                </c:pt>
              </c:numCache>
            </c:numRef>
          </c:xVal>
          <c:yVal>
            <c:numRef>
              <c:f>'Кристалл Судьбы'!$H$219:$O$219</c:f>
              <c:numCache>
                <c:formatCode>General</c:formatCode>
                <c:ptCount val="8"/>
                <c:pt idx="0">
                  <c:v>0</c:v>
                </c:pt>
                <c:pt idx="1">
                  <c:v>5</c:v>
                </c:pt>
                <c:pt idx="2">
                  <c:v>1</c:v>
                </c:pt>
                <c:pt idx="3">
                  <c:v>2</c:v>
                </c:pt>
                <c:pt idx="4">
                  <c:v>4</c:v>
                </c:pt>
                <c:pt idx="5">
                  <c:v>5</c:v>
                </c:pt>
                <c:pt idx="6">
                  <c:v>8</c:v>
                </c:pt>
                <c:pt idx="7">
                  <c:v>2</c:v>
                </c:pt>
              </c:numCache>
            </c:numRef>
          </c:yVal>
          <c:smooth val="0"/>
          <c:extLst>
            <c:ext xmlns:c16="http://schemas.microsoft.com/office/drawing/2014/chart" uri="{C3380CC4-5D6E-409C-BE32-E72D297353CC}">
              <c16:uniqueId val="{00000000-DD51-439D-86C4-5652DBEBFC6B}"/>
            </c:ext>
          </c:extLst>
        </c:ser>
        <c:ser>
          <c:idx val="4"/>
          <c:order val="1"/>
          <c:tx>
            <c:v>Уровень Комфорта</c:v>
          </c:tx>
          <c:spPr>
            <a:ln w="19050" cap="rnd">
              <a:solidFill>
                <a:srgbClr val="FFC000"/>
              </a:solidFill>
              <a:prstDash val="dash"/>
              <a:round/>
            </a:ln>
            <a:effectLst/>
          </c:spPr>
          <c:marker>
            <c:symbol val="none"/>
          </c:marker>
          <c:dLbls>
            <c:dLbl>
              <c:idx val="7"/>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DD51-439D-86C4-5652DBEBFC6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Судьбы'!$H$220:$O$220</c:f>
              <c:numCache>
                <c:formatCode>0</c:formatCode>
                <c:ptCount val="8"/>
                <c:pt idx="0">
                  <c:v>0</c:v>
                </c:pt>
                <c:pt idx="1">
                  <c:v>15</c:v>
                </c:pt>
                <c:pt idx="2">
                  <c:v>21</c:v>
                </c:pt>
                <c:pt idx="3">
                  <c:v>32</c:v>
                </c:pt>
                <c:pt idx="4">
                  <c:v>44</c:v>
                </c:pt>
                <c:pt idx="5">
                  <c:v>55</c:v>
                </c:pt>
                <c:pt idx="6">
                  <c:v>68</c:v>
                </c:pt>
                <c:pt idx="7">
                  <c:v>72</c:v>
                </c:pt>
              </c:numCache>
            </c:numRef>
          </c:xVal>
          <c:yVal>
            <c:numRef>
              <c:f>'Кристалл Судьбы'!$H$221:$O$221</c:f>
              <c:numCache>
                <c:formatCode>0.00</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13-DD51-439D-86C4-5652DBEBFC6B}"/>
            </c:ext>
          </c:extLst>
        </c:ser>
        <c:ser>
          <c:idx val="3"/>
          <c:order val="2"/>
          <c:tx>
            <c:v>Точки Пересечения</c:v>
          </c:tx>
          <c:spPr>
            <a:ln w="25400" cap="rnd">
              <a:noFill/>
              <a:round/>
            </a:ln>
            <a:effectLst/>
          </c:spPr>
          <c:marker>
            <c:symbol val="square"/>
            <c:size val="5"/>
            <c:spPr>
              <a:solidFill>
                <a:srgbClr val="00B0F0"/>
              </a:solidFill>
              <a:ln w="9525">
                <a:solidFill>
                  <a:srgbClr val="00B0F0"/>
                </a:solidFill>
              </a:ln>
              <a:effectLst/>
            </c:spPr>
          </c:marker>
          <c:dLbls>
            <c:dLbl>
              <c:idx val="3"/>
              <c:layout>
                <c:manualLayout>
                  <c:x val="-2.6626107859672399E-2"/>
                  <c:y val="-4.30570505920344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02C-4681-95B3-5077F1F164E6}"/>
                </c:ext>
              </c:extLst>
            </c:dLbl>
            <c:dLbl>
              <c:idx val="7"/>
              <c:layout>
                <c:manualLayout>
                  <c:x val="-3.3291158707079698E-3"/>
                  <c:y val="-9.0419806243272297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4C5-40FD-B6EF-A252ED232494}"/>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Судьбы'!$H$222:$O$222</c:f>
              <c:numCache>
                <c:formatCode>0.00</c:formatCode>
                <c:ptCount val="8"/>
                <c:pt idx="0" formatCode="General">
                  <c:v>0</c:v>
                </c:pt>
                <c:pt idx="1">
                  <c:v>11.571428298950195</c:v>
                </c:pt>
                <c:pt idx="2">
                  <c:v>16.714284896850586</c:v>
                </c:pt>
                <c:pt idx="3">
                  <c:v>0</c:v>
                </c:pt>
                <c:pt idx="4">
                  <c:v>43.142856597900391</c:v>
                </c:pt>
                <c:pt idx="5">
                  <c:v>0</c:v>
                </c:pt>
                <c:pt idx="6">
                  <c:v>0</c:v>
                </c:pt>
                <c:pt idx="7">
                  <c:v>70.76190185546875</c:v>
                </c:pt>
              </c:numCache>
            </c:numRef>
          </c:xVal>
          <c:yVal>
            <c:numRef>
              <c:f>'Кристалл Судьбы'!$H$221:$O$221</c:f>
              <c:numCache>
                <c:formatCode>0.00</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0-F9E2-4A6D-A23E-79F4E95B03DE}"/>
            </c:ext>
          </c:extLst>
        </c:ser>
        <c:dLbls>
          <c:showLegendKey val="0"/>
          <c:showVal val="0"/>
          <c:showCatName val="0"/>
          <c:showSerName val="0"/>
          <c:showPercent val="0"/>
          <c:showBubbleSize val="0"/>
        </c:dLbls>
        <c:axId val="29620480"/>
        <c:axId val="29700480"/>
      </c:scatterChart>
      <c:scatterChart>
        <c:scatterStyle val="lineMarker"/>
        <c:varyColors val="0"/>
        <c:ser>
          <c:idx val="2"/>
          <c:order val="3"/>
          <c:tx>
            <c:v>Возраст</c:v>
          </c:tx>
          <c:spPr>
            <a:ln w="19050" cap="rnd">
              <a:solidFill>
                <a:srgbClr val="FF0000"/>
              </a:solidFill>
              <a:prstDash val="dash"/>
              <a:round/>
            </a:ln>
            <a:effectLst/>
          </c:spPr>
          <c:marker>
            <c:symbol val="none"/>
          </c:marker>
          <c:dLbls>
            <c:dLbl>
              <c:idx val="0"/>
              <c:layout>
                <c:manualLayout>
                  <c:x val="-2.9595351842592699E-2"/>
                  <c:y val="-0.3724434876210980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0-C599-4FA2-BFD5-9106F47027E8}"/>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15-DD51-439D-86C4-5652DBEBFC6B}"/>
            </c:ext>
          </c:extLst>
        </c:ser>
        <c:dLbls>
          <c:showLegendKey val="0"/>
          <c:showVal val="0"/>
          <c:showCatName val="0"/>
          <c:showSerName val="0"/>
          <c:showPercent val="0"/>
          <c:showBubbleSize val="0"/>
        </c:dLbls>
        <c:axId val="29724672"/>
        <c:axId val="29702400"/>
      </c:scatterChart>
      <c:valAx>
        <c:axId val="2962048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700480"/>
        <c:crosses val="autoZero"/>
        <c:crossBetween val="midCat"/>
      </c:valAx>
      <c:valAx>
        <c:axId val="29700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620480"/>
        <c:crosses val="autoZero"/>
        <c:crossBetween val="midCat"/>
      </c:valAx>
      <c:valAx>
        <c:axId val="29702400"/>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724672"/>
        <c:crosses val="max"/>
        <c:crossBetween val="midCat"/>
      </c:valAx>
      <c:valAx>
        <c:axId val="29724672"/>
        <c:scaling>
          <c:orientation val="minMax"/>
        </c:scaling>
        <c:delete val="1"/>
        <c:axPos val="b"/>
        <c:numFmt formatCode="General" sourceLinked="1"/>
        <c:majorTickMark val="out"/>
        <c:minorTickMark val="none"/>
        <c:tickLblPos val="nextTo"/>
        <c:crossAx val="29702400"/>
        <c:crosses val="autoZero"/>
        <c:crossBetween val="midCat"/>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Кармы</a:t>
            </a:r>
            <a:r>
              <a:rPr lang="ru-RU" baseline="0"/>
              <a:t> </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Карма</c:v>
          </c:tx>
          <c:spPr>
            <a:ln w="19050" cap="rnd">
              <a:solidFill>
                <a:srgbClr val="C00000"/>
              </a:solidFill>
              <a:round/>
            </a:ln>
            <a:effectLst/>
          </c:spPr>
          <c:marker>
            <c:symbol val="circle"/>
            <c:size val="5"/>
            <c:spPr>
              <a:solidFill>
                <a:srgbClr val="C00000"/>
              </a:solidFill>
              <a:ln w="9525">
                <a:solidFill>
                  <a:srgbClr val="C0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numRef>
              <c:f>'Кристалл Судьбы'!$I$172:$P$172</c:f>
              <c:numCache>
                <c:formatCode>General</c:formatCode>
                <c:ptCount val="8"/>
                <c:pt idx="0">
                  <c:v>0</c:v>
                </c:pt>
                <c:pt idx="1">
                  <c:v>18</c:v>
                </c:pt>
                <c:pt idx="2">
                  <c:v>29</c:v>
                </c:pt>
                <c:pt idx="3">
                  <c:v>42</c:v>
                </c:pt>
                <c:pt idx="4">
                  <c:v>51</c:v>
                </c:pt>
                <c:pt idx="5">
                  <c:v>67</c:v>
                </c:pt>
                <c:pt idx="6">
                  <c:v>72</c:v>
                </c:pt>
                <c:pt idx="7">
                  <c:v>84</c:v>
                </c:pt>
              </c:numCache>
            </c:numRef>
          </c:xVal>
          <c:yVal>
            <c:numRef>
              <c:f>'Кристалл Судьбы'!$I$171:$P$171</c:f>
              <c:numCache>
                <c:formatCode>General</c:formatCode>
                <c:ptCount val="8"/>
                <c:pt idx="0">
                  <c:v>0</c:v>
                </c:pt>
                <c:pt idx="1">
                  <c:v>6</c:v>
                </c:pt>
                <c:pt idx="2">
                  <c:v>5</c:v>
                </c:pt>
                <c:pt idx="3">
                  <c:v>6</c:v>
                </c:pt>
                <c:pt idx="4">
                  <c:v>3</c:v>
                </c:pt>
                <c:pt idx="5">
                  <c:v>7</c:v>
                </c:pt>
                <c:pt idx="6">
                  <c:v>0</c:v>
                </c:pt>
                <c:pt idx="7">
                  <c:v>0</c:v>
                </c:pt>
              </c:numCache>
            </c:numRef>
          </c:yVal>
          <c:smooth val="0"/>
          <c:extLst>
            <c:ext xmlns:c16="http://schemas.microsoft.com/office/drawing/2014/chart" uri="{C3380CC4-5D6E-409C-BE32-E72D297353CC}">
              <c16:uniqueId val="{00000000-177C-4FE2-9549-ABD0D9BED7A0}"/>
            </c:ext>
          </c:extLst>
        </c:ser>
        <c:ser>
          <c:idx val="3"/>
          <c:order val="1"/>
          <c:tx>
            <c:v>Комфорт Карма</c:v>
          </c:tx>
          <c:spPr>
            <a:ln w="19050" cap="rnd">
              <a:solidFill>
                <a:schemeClr val="accent2"/>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177C-4FE2-9549-ABD0D9BED7A0}"/>
                </c:ext>
              </c:extLst>
            </c:dLbl>
            <c:dLbl>
              <c:idx val="1"/>
              <c:delete val="1"/>
              <c:extLst>
                <c:ext xmlns:c15="http://schemas.microsoft.com/office/drawing/2012/chart" uri="{CE6537A1-D6FC-4f65-9D91-7224C49458BB}"/>
                <c:ext xmlns:c16="http://schemas.microsoft.com/office/drawing/2014/chart" uri="{C3380CC4-5D6E-409C-BE32-E72D297353CC}">
                  <c16:uniqueId val="{00000002-177C-4FE2-9549-ABD0D9BED7A0}"/>
                </c:ext>
              </c:extLst>
            </c:dLbl>
            <c:dLbl>
              <c:idx val="2"/>
              <c:delete val="1"/>
              <c:extLst>
                <c:ext xmlns:c15="http://schemas.microsoft.com/office/drawing/2012/chart" uri="{CE6537A1-D6FC-4f65-9D91-7224C49458BB}"/>
                <c:ext xmlns:c16="http://schemas.microsoft.com/office/drawing/2014/chart" uri="{C3380CC4-5D6E-409C-BE32-E72D297353CC}">
                  <c16:uniqueId val="{00000003-177C-4FE2-9549-ABD0D9BED7A0}"/>
                </c:ext>
              </c:extLst>
            </c:dLbl>
            <c:dLbl>
              <c:idx val="3"/>
              <c:delete val="1"/>
              <c:extLst>
                <c:ext xmlns:c15="http://schemas.microsoft.com/office/drawing/2012/chart" uri="{CE6537A1-D6FC-4f65-9D91-7224C49458BB}"/>
                <c:ext xmlns:c16="http://schemas.microsoft.com/office/drawing/2014/chart" uri="{C3380CC4-5D6E-409C-BE32-E72D297353CC}">
                  <c16:uniqueId val="{00000004-177C-4FE2-9549-ABD0D9BED7A0}"/>
                </c:ext>
              </c:extLst>
            </c:dLbl>
            <c:dLbl>
              <c:idx val="4"/>
              <c:delete val="1"/>
              <c:extLst>
                <c:ext xmlns:c15="http://schemas.microsoft.com/office/drawing/2012/chart" uri="{CE6537A1-D6FC-4f65-9D91-7224C49458BB}"/>
                <c:ext xmlns:c16="http://schemas.microsoft.com/office/drawing/2014/chart" uri="{C3380CC4-5D6E-409C-BE32-E72D297353CC}">
                  <c16:uniqueId val="{00000005-177C-4FE2-9549-ABD0D9BED7A0}"/>
                </c:ext>
              </c:extLst>
            </c:dLbl>
            <c:dLbl>
              <c:idx val="5"/>
              <c:delete val="1"/>
              <c:extLst>
                <c:ext xmlns:c15="http://schemas.microsoft.com/office/drawing/2012/chart" uri="{CE6537A1-D6FC-4f65-9D91-7224C49458BB}"/>
                <c:ext xmlns:c16="http://schemas.microsoft.com/office/drawing/2014/chart" uri="{C3380CC4-5D6E-409C-BE32-E72D297353CC}">
                  <c16:uniqueId val="{00000006-177C-4FE2-9549-ABD0D9BED7A0}"/>
                </c:ext>
              </c:extLst>
            </c:dLbl>
            <c:dLbl>
              <c:idx val="6"/>
              <c:delete val="1"/>
              <c:extLst>
                <c:ext xmlns:c15="http://schemas.microsoft.com/office/drawing/2012/chart" uri="{CE6537A1-D6FC-4f65-9D91-7224C49458BB}"/>
                <c:ext xmlns:c16="http://schemas.microsoft.com/office/drawing/2014/chart" uri="{C3380CC4-5D6E-409C-BE32-E72D297353CC}">
                  <c16:uniqueId val="{00000007-177C-4FE2-9549-ABD0D9BED7A0}"/>
                </c:ext>
              </c:extLst>
            </c:dLbl>
            <c:dLbl>
              <c:idx val="7"/>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 xmlns:c16="http://schemas.microsoft.com/office/drawing/2014/chart" uri="{C3380CC4-5D6E-409C-BE32-E72D297353CC}">
                  <c16:uniqueId val="{00000008-177C-4FE2-9549-ABD0D9BED7A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Судьбы'!$I$172:$P$172</c:f>
              <c:numCache>
                <c:formatCode>General</c:formatCode>
                <c:ptCount val="8"/>
                <c:pt idx="0">
                  <c:v>0</c:v>
                </c:pt>
                <c:pt idx="1">
                  <c:v>18</c:v>
                </c:pt>
                <c:pt idx="2">
                  <c:v>29</c:v>
                </c:pt>
                <c:pt idx="3">
                  <c:v>42</c:v>
                </c:pt>
                <c:pt idx="4">
                  <c:v>51</c:v>
                </c:pt>
                <c:pt idx="5">
                  <c:v>67</c:v>
                </c:pt>
                <c:pt idx="6">
                  <c:v>72</c:v>
                </c:pt>
                <c:pt idx="7">
                  <c:v>84</c:v>
                </c:pt>
              </c:numCache>
            </c:numRef>
          </c:xVal>
          <c:yVal>
            <c:numRef>
              <c:f>'Кристалл Судьбы'!$I$173:$P$173</c:f>
              <c:numCache>
                <c:formatCode>General</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9-177C-4FE2-9549-ABD0D9BED7A0}"/>
            </c:ext>
          </c:extLst>
        </c:ser>
        <c:ser>
          <c:idx val="5"/>
          <c:order val="2"/>
          <c:tx>
            <c:v>Пересечение Карма</c:v>
          </c:tx>
          <c:spPr>
            <a:ln w="25400" cap="rnd">
              <a:noFill/>
              <a:round/>
            </a:ln>
            <a:effectLst/>
          </c:spPr>
          <c:marker>
            <c:symbol val="square"/>
            <c:size val="5"/>
            <c:spPr>
              <a:solidFill>
                <a:srgbClr val="C00000"/>
              </a:solidFill>
              <a:ln w="9525">
                <a:solidFill>
                  <a:srgbClr val="C00000"/>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A342-4D01-8E8C-B7D8FAA66C0C}"/>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15:showLeaderLines val="0"/>
              </c:ext>
            </c:extLst>
          </c:dLbls>
          <c:xVal>
            <c:numRef>
              <c:f>'Кристалл Судьбы'!$I$174:$P$174</c:f>
              <c:numCache>
                <c:formatCode>0.00</c:formatCode>
                <c:ptCount val="8"/>
                <c:pt idx="0" formatCode="General">
                  <c:v>0</c:v>
                </c:pt>
                <c:pt idx="1">
                  <c:v>11.571428298950195</c:v>
                </c:pt>
                <c:pt idx="2">
                  <c:v>0</c:v>
                </c:pt>
                <c:pt idx="3">
                  <c:v>0</c:v>
                </c:pt>
                <c:pt idx="4">
                  <c:v>48.428569793701172</c:v>
                </c:pt>
                <c:pt idx="5">
                  <c:v>54.428573608398438</c:v>
                </c:pt>
                <c:pt idx="6">
                  <c:v>69.244895935058594</c:v>
                </c:pt>
                <c:pt idx="7">
                  <c:v>0</c:v>
                </c:pt>
              </c:numCache>
            </c:numRef>
          </c:xVal>
          <c:yVal>
            <c:numRef>
              <c:f>'Кристалл Судьбы'!$I$173:$P$173</c:f>
              <c:numCache>
                <c:formatCode>General</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0-01DA-41D8-A058-0B64C8FA544D}"/>
            </c:ext>
          </c:extLst>
        </c:ser>
        <c:dLbls>
          <c:showLegendKey val="0"/>
          <c:showVal val="0"/>
          <c:showCatName val="0"/>
          <c:showSerName val="0"/>
          <c:showPercent val="0"/>
          <c:showBubbleSize val="0"/>
        </c:dLbls>
        <c:axId val="29784320"/>
        <c:axId val="29811072"/>
      </c:scatterChart>
      <c:scatterChart>
        <c:scatterStyle val="lineMarker"/>
        <c:varyColors val="0"/>
        <c:ser>
          <c:idx val="2"/>
          <c:order val="3"/>
          <c:tx>
            <c:v>Возраст</c:v>
          </c:tx>
          <c:spPr>
            <a:ln w="19050" cap="rnd">
              <a:solidFill>
                <a:srgbClr val="FF0000"/>
              </a:solidFill>
              <a:prstDash val="dash"/>
              <a:round/>
            </a:ln>
            <a:effectLst/>
          </c:spPr>
          <c:marker>
            <c:symbol val="none"/>
          </c:marker>
          <c:dLbls>
            <c:dLbl>
              <c:idx val="0"/>
              <c:layout>
                <c:manualLayout>
                  <c:x val="-3.2850882578636401E-2"/>
                  <c:y val="-0.3788905562393570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15:layout/>
                </c:ext>
                <c:ext xmlns:c16="http://schemas.microsoft.com/office/drawing/2014/chart" uri="{C3380CC4-5D6E-409C-BE32-E72D297353CC}">
                  <c16:uniqueId val="{00000000-4628-4632-A6E4-4592DBD06CF3}"/>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15-177C-4FE2-9549-ABD0D9BED7A0}"/>
            </c:ext>
          </c:extLst>
        </c:ser>
        <c:dLbls>
          <c:showLegendKey val="0"/>
          <c:showVal val="0"/>
          <c:showCatName val="0"/>
          <c:showSerName val="0"/>
          <c:showPercent val="0"/>
          <c:showBubbleSize val="0"/>
        </c:dLbls>
        <c:axId val="29827072"/>
        <c:axId val="29812992"/>
      </c:scatterChart>
      <c:valAx>
        <c:axId val="297843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811072"/>
        <c:crosses val="autoZero"/>
        <c:crossBetween val="midCat"/>
      </c:valAx>
      <c:valAx>
        <c:axId val="298110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784320"/>
        <c:crosses val="autoZero"/>
        <c:crossBetween val="midCat"/>
      </c:valAx>
      <c:valAx>
        <c:axId val="29812992"/>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827072"/>
        <c:crosses val="max"/>
        <c:crossBetween val="midCat"/>
      </c:valAx>
      <c:valAx>
        <c:axId val="29827072"/>
        <c:scaling>
          <c:orientation val="minMax"/>
        </c:scaling>
        <c:delete val="1"/>
        <c:axPos val="b"/>
        <c:numFmt formatCode="General" sourceLinked="1"/>
        <c:majorTickMark val="out"/>
        <c:minorTickMark val="none"/>
        <c:tickLblPos val="nextTo"/>
        <c:crossAx val="29812992"/>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Застоя</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График застоя</c:v>
          </c:tx>
          <c:spPr>
            <a:ln w="19050" cap="rnd">
              <a:solidFill>
                <a:srgbClr val="0070C0"/>
              </a:solidFill>
              <a:round/>
            </a:ln>
            <a:effectLst/>
          </c:spPr>
          <c:marker>
            <c:symbol val="circle"/>
            <c:size val="5"/>
            <c:spPr>
              <a:solidFill>
                <a:srgbClr val="0070C0"/>
              </a:solidFill>
              <a:ln w="9525">
                <a:solidFill>
                  <a:srgbClr val="0070C0"/>
                </a:solidFill>
              </a:ln>
              <a:effectLst/>
            </c:spPr>
          </c:marker>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xVal>
            <c:numRef>
              <c:f>'Кристалл Судьбы'!$I$289:$P$289</c:f>
              <c:numCache>
                <c:formatCode>0</c:formatCode>
                <c:ptCount val="8"/>
                <c:pt idx="0" formatCode="General">
                  <c:v>0</c:v>
                </c:pt>
                <c:pt idx="1">
                  <c:v>11</c:v>
                </c:pt>
                <c:pt idx="2">
                  <c:v>29</c:v>
                </c:pt>
                <c:pt idx="3">
                  <c:v>38</c:v>
                </c:pt>
                <c:pt idx="4">
                  <c:v>49</c:v>
                </c:pt>
                <c:pt idx="5">
                  <c:v>50</c:v>
                </c:pt>
                <c:pt idx="6">
                  <c:v>60</c:v>
                </c:pt>
                <c:pt idx="7">
                  <c:v>70</c:v>
                </c:pt>
              </c:numCache>
            </c:numRef>
          </c:xVal>
          <c:yVal>
            <c:numRef>
              <c:f>'Кристалл Судьбы'!$I$288:$P$288</c:f>
              <c:numCache>
                <c:formatCode>General</c:formatCode>
                <c:ptCount val="8"/>
                <c:pt idx="0">
                  <c:v>0</c:v>
                </c:pt>
                <c:pt idx="1">
                  <c:v>1</c:v>
                </c:pt>
                <c:pt idx="2">
                  <c:v>9</c:v>
                </c:pt>
                <c:pt idx="3">
                  <c:v>8</c:v>
                </c:pt>
                <c:pt idx="4">
                  <c:v>9</c:v>
                </c:pt>
                <c:pt idx="5">
                  <c:v>0</c:v>
                </c:pt>
                <c:pt idx="6">
                  <c:v>0</c:v>
                </c:pt>
                <c:pt idx="7">
                  <c:v>0</c:v>
                </c:pt>
              </c:numCache>
            </c:numRef>
          </c:yVal>
          <c:smooth val="0"/>
          <c:extLst>
            <c:ext xmlns:c16="http://schemas.microsoft.com/office/drawing/2014/chart" uri="{C3380CC4-5D6E-409C-BE32-E72D297353CC}">
              <c16:uniqueId val="{00000000-987F-4638-AB3C-498AC836408F}"/>
            </c:ext>
          </c:extLst>
        </c:ser>
        <c:ser>
          <c:idx val="4"/>
          <c:order val="1"/>
          <c:tx>
            <c:v>Уровень Комфорта</c:v>
          </c:tx>
          <c:spPr>
            <a:ln w="19050" cap="rnd">
              <a:solidFill>
                <a:srgbClr val="FFC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42E3-4199-B5F3-BB2C53A39DA1}"/>
                </c:ext>
              </c:extLst>
            </c:dLbl>
            <c:dLbl>
              <c:idx val="1"/>
              <c:delete val="1"/>
              <c:extLst>
                <c:ext xmlns:c15="http://schemas.microsoft.com/office/drawing/2012/chart" uri="{CE6537A1-D6FC-4f65-9D91-7224C49458BB}"/>
                <c:ext xmlns:c16="http://schemas.microsoft.com/office/drawing/2014/chart" uri="{C3380CC4-5D6E-409C-BE32-E72D297353CC}">
                  <c16:uniqueId val="{00000001-42E3-4199-B5F3-BB2C53A39DA1}"/>
                </c:ext>
              </c:extLst>
            </c:dLbl>
            <c:dLbl>
              <c:idx val="2"/>
              <c:delete val="1"/>
              <c:extLst>
                <c:ext xmlns:c15="http://schemas.microsoft.com/office/drawing/2012/chart" uri="{CE6537A1-D6FC-4f65-9D91-7224C49458BB}"/>
                <c:ext xmlns:c16="http://schemas.microsoft.com/office/drawing/2014/chart" uri="{C3380CC4-5D6E-409C-BE32-E72D297353CC}">
                  <c16:uniqueId val="{00000002-42E3-4199-B5F3-BB2C53A39DA1}"/>
                </c:ext>
              </c:extLst>
            </c:dLbl>
            <c:dLbl>
              <c:idx val="3"/>
              <c:delete val="1"/>
              <c:extLst>
                <c:ext xmlns:c15="http://schemas.microsoft.com/office/drawing/2012/chart" uri="{CE6537A1-D6FC-4f65-9D91-7224C49458BB}"/>
                <c:ext xmlns:c16="http://schemas.microsoft.com/office/drawing/2014/chart" uri="{C3380CC4-5D6E-409C-BE32-E72D297353CC}">
                  <c16:uniqueId val="{00000003-42E3-4199-B5F3-BB2C53A39DA1}"/>
                </c:ext>
              </c:extLst>
            </c:dLbl>
            <c:dLbl>
              <c:idx val="4"/>
              <c:delete val="1"/>
              <c:extLst>
                <c:ext xmlns:c15="http://schemas.microsoft.com/office/drawing/2012/chart" uri="{CE6537A1-D6FC-4f65-9D91-7224C49458BB}"/>
                <c:ext xmlns:c16="http://schemas.microsoft.com/office/drawing/2014/chart" uri="{C3380CC4-5D6E-409C-BE32-E72D297353CC}">
                  <c16:uniqueId val="{00000004-42E3-4199-B5F3-BB2C53A39DA1}"/>
                </c:ext>
              </c:extLst>
            </c:dLbl>
            <c:dLbl>
              <c:idx val="5"/>
              <c:delete val="1"/>
              <c:extLst>
                <c:ext xmlns:c15="http://schemas.microsoft.com/office/drawing/2012/chart" uri="{CE6537A1-D6FC-4f65-9D91-7224C49458BB}"/>
                <c:ext xmlns:c16="http://schemas.microsoft.com/office/drawing/2014/chart" uri="{C3380CC4-5D6E-409C-BE32-E72D297353CC}">
                  <c16:uniqueId val="{00000005-42E3-4199-B5F3-BB2C53A39DA1}"/>
                </c:ext>
              </c:extLst>
            </c:dLbl>
            <c:dLbl>
              <c:idx val="6"/>
              <c:delete val="1"/>
              <c:extLst>
                <c:ext xmlns:c15="http://schemas.microsoft.com/office/drawing/2012/chart" uri="{CE6537A1-D6FC-4f65-9D91-7224C49458BB}"/>
                <c:ext xmlns:c16="http://schemas.microsoft.com/office/drawing/2014/chart" uri="{C3380CC4-5D6E-409C-BE32-E72D297353CC}">
                  <c16:uniqueId val="{00000006-42E3-4199-B5F3-BB2C53A39DA1}"/>
                </c:ext>
              </c:extLst>
            </c:dLbl>
            <c:dLbl>
              <c:idx val="7"/>
              <c:layout>
                <c:manualLayout>
                  <c:x val="5.8814882888453598E-3"/>
                  <c:y val="-3.87513455328310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2E3-4199-B5F3-BB2C53A39DA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Судьбы'!$I$289:$P$289</c:f>
              <c:numCache>
                <c:formatCode>0</c:formatCode>
                <c:ptCount val="8"/>
                <c:pt idx="0" formatCode="General">
                  <c:v>0</c:v>
                </c:pt>
                <c:pt idx="1">
                  <c:v>11</c:v>
                </c:pt>
                <c:pt idx="2">
                  <c:v>29</c:v>
                </c:pt>
                <c:pt idx="3">
                  <c:v>38</c:v>
                </c:pt>
                <c:pt idx="4">
                  <c:v>49</c:v>
                </c:pt>
                <c:pt idx="5">
                  <c:v>50</c:v>
                </c:pt>
                <c:pt idx="6">
                  <c:v>60</c:v>
                </c:pt>
                <c:pt idx="7">
                  <c:v>70</c:v>
                </c:pt>
              </c:numCache>
            </c:numRef>
          </c:xVal>
          <c:yVal>
            <c:numRef>
              <c:f>'Кристалл Судьбы'!$I$290:$P$290</c:f>
              <c:numCache>
                <c:formatCode>0.00</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A-987F-4638-AB3C-498AC836408F}"/>
            </c:ext>
          </c:extLst>
        </c:ser>
        <c:ser>
          <c:idx val="1"/>
          <c:order val="3"/>
          <c:tx>
            <c:v>Точки Пересечения</c:v>
          </c:tx>
          <c:spPr>
            <a:ln w="25400" cap="rnd">
              <a:noFill/>
              <a:round/>
            </a:ln>
            <a:effectLst/>
          </c:spPr>
          <c:marker>
            <c:symbol val="square"/>
            <c:size val="5"/>
            <c:spPr>
              <a:solidFill>
                <a:srgbClr val="0070C0"/>
              </a:solidFill>
              <a:ln w="9525">
                <a:solidFill>
                  <a:srgbClr val="0070C0"/>
                </a:solidFill>
              </a:ln>
              <a:effectLst/>
            </c:spPr>
          </c:marker>
          <c:dLbls>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Судьбы'!$I$291:$P$291</c:f>
              <c:numCache>
                <c:formatCode>0.00</c:formatCode>
                <c:ptCount val="8"/>
                <c:pt idx="0" formatCode="General">
                  <c:v>0</c:v>
                </c:pt>
                <c:pt idx="1">
                  <c:v>0</c:v>
                </c:pt>
                <c:pt idx="2">
                  <c:v>17.428571701049805</c:v>
                </c:pt>
                <c:pt idx="3">
                  <c:v>0</c:v>
                </c:pt>
                <c:pt idx="4">
                  <c:v>0</c:v>
                </c:pt>
                <c:pt idx="5">
                  <c:v>49.571430206298828</c:v>
                </c:pt>
                <c:pt idx="6">
                  <c:v>0</c:v>
                </c:pt>
                <c:pt idx="7">
                  <c:v>0</c:v>
                </c:pt>
              </c:numCache>
            </c:numRef>
          </c:xVal>
          <c:yVal>
            <c:numRef>
              <c:f>'Кристалл Судьбы'!$I$290:$P$290</c:f>
              <c:numCache>
                <c:formatCode>0.00</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0-863D-4E29-B6BB-322CAC4E6388}"/>
            </c:ext>
          </c:extLst>
        </c:ser>
        <c:dLbls>
          <c:showLegendKey val="0"/>
          <c:showVal val="0"/>
          <c:showCatName val="0"/>
          <c:showSerName val="0"/>
          <c:showPercent val="0"/>
          <c:showBubbleSize val="0"/>
        </c:dLbls>
        <c:axId val="29887104"/>
        <c:axId val="29913856"/>
      </c:scatterChart>
      <c:scatterChart>
        <c:scatterStyle val="lineMarker"/>
        <c:varyColors val="0"/>
        <c:ser>
          <c:idx val="2"/>
          <c:order val="2"/>
          <c:tx>
            <c:v>Возраст</c:v>
          </c:tx>
          <c:spPr>
            <a:ln w="19050" cap="rnd">
              <a:solidFill>
                <a:srgbClr val="FF0000"/>
              </a:solidFill>
              <a:prstDash val="dash"/>
              <a:round/>
            </a:ln>
            <a:effectLst/>
          </c:spPr>
          <c:marker>
            <c:symbol val="none"/>
          </c:marker>
          <c:dLbls>
            <c:dLbl>
              <c:idx val="0"/>
              <c:layout>
                <c:manualLayout>
                  <c:x val="-3.3540372670807499E-2"/>
                  <c:y val="-0.3702906350914960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B-987F-4638-AB3C-498AC836408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0C-987F-4638-AB3C-498AC836408F}"/>
            </c:ext>
          </c:extLst>
        </c:ser>
        <c:dLbls>
          <c:showLegendKey val="0"/>
          <c:showVal val="0"/>
          <c:showCatName val="0"/>
          <c:showSerName val="0"/>
          <c:showPercent val="0"/>
          <c:showBubbleSize val="0"/>
        </c:dLbls>
        <c:axId val="29925760"/>
        <c:axId val="29915776"/>
      </c:scatterChart>
      <c:valAx>
        <c:axId val="298871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913856"/>
        <c:crosses val="autoZero"/>
        <c:crossBetween val="midCat"/>
      </c:valAx>
      <c:valAx>
        <c:axId val="29913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887104"/>
        <c:crosses val="autoZero"/>
        <c:crossBetween val="midCat"/>
      </c:valAx>
      <c:valAx>
        <c:axId val="29915776"/>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9925760"/>
        <c:crosses val="max"/>
        <c:crossBetween val="midCat"/>
      </c:valAx>
      <c:valAx>
        <c:axId val="29925760"/>
        <c:scaling>
          <c:orientation val="minMax"/>
        </c:scaling>
        <c:delete val="1"/>
        <c:axPos val="b"/>
        <c:numFmt formatCode="General" sourceLinked="1"/>
        <c:majorTickMark val="out"/>
        <c:minorTickMark val="none"/>
        <c:tickLblPos val="nextTo"/>
        <c:crossAx val="29915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a:t>
            </a:r>
            <a:r>
              <a:rPr lang="ru-RU" baseline="0"/>
              <a:t>Воли и Судьбы</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Воля</c:v>
          </c:tx>
          <c:spPr>
            <a:ln w="19050" cap="rnd">
              <a:solidFill>
                <a:srgbClr val="C00000"/>
              </a:solidFill>
              <a:round/>
            </a:ln>
            <a:effectLst/>
          </c:spPr>
          <c:marker>
            <c:symbol val="circle"/>
            <c:size val="5"/>
            <c:spPr>
              <a:solidFill>
                <a:srgbClr val="C00000"/>
              </a:solidFill>
              <a:ln w="9525">
                <a:solidFill>
                  <a:srgbClr val="C00000"/>
                </a:solidFill>
              </a:ln>
              <a:effectLst/>
            </c:spPr>
          </c:marker>
          <c:dLbls>
            <c:dLbl>
              <c:idx val="7"/>
              <c:layout>
                <c:manualLayout>
                  <c:x val="-3.5263946474327298E-3"/>
                  <c:y val="-3.4261241970021401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2FA-4570-8315-D2DF37BC794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'Кристалл Судьбы'!$I$186:$P$186</c:f>
              <c:numCache>
                <c:formatCode>General</c:formatCode>
                <c:ptCount val="8"/>
                <c:pt idx="0">
                  <c:v>0</c:v>
                </c:pt>
                <c:pt idx="1">
                  <c:v>17</c:v>
                </c:pt>
                <c:pt idx="2">
                  <c:v>26</c:v>
                </c:pt>
                <c:pt idx="3">
                  <c:v>36</c:v>
                </c:pt>
                <c:pt idx="4">
                  <c:v>53</c:v>
                </c:pt>
                <c:pt idx="5">
                  <c:v>62</c:v>
                </c:pt>
                <c:pt idx="6">
                  <c:v>73</c:v>
                </c:pt>
                <c:pt idx="7">
                  <c:v>87</c:v>
                </c:pt>
              </c:numCache>
            </c:numRef>
          </c:xVal>
          <c:yVal>
            <c:numRef>
              <c:f>'Кристалл Судьбы'!$I$185:$P$185</c:f>
              <c:numCache>
                <c:formatCode>General</c:formatCode>
                <c:ptCount val="8"/>
                <c:pt idx="0">
                  <c:v>0</c:v>
                </c:pt>
                <c:pt idx="1">
                  <c:v>5</c:v>
                </c:pt>
                <c:pt idx="2">
                  <c:v>2</c:v>
                </c:pt>
                <c:pt idx="3">
                  <c:v>0</c:v>
                </c:pt>
                <c:pt idx="4">
                  <c:v>5</c:v>
                </c:pt>
                <c:pt idx="5">
                  <c:v>2</c:v>
                </c:pt>
                <c:pt idx="6">
                  <c:v>1</c:v>
                </c:pt>
                <c:pt idx="7">
                  <c:v>3</c:v>
                </c:pt>
              </c:numCache>
            </c:numRef>
          </c:yVal>
          <c:smooth val="0"/>
          <c:extLst>
            <c:ext xmlns:c16="http://schemas.microsoft.com/office/drawing/2014/chart" uri="{C3380CC4-5D6E-409C-BE32-E72D297353CC}">
              <c16:uniqueId val="{00000000-177C-4FE2-9549-ABD0D9BED7A0}"/>
            </c:ext>
          </c:extLst>
        </c:ser>
        <c:ser>
          <c:idx val="1"/>
          <c:order val="1"/>
          <c:tx>
            <c:v>Судьба</c:v>
          </c:tx>
          <c:spPr>
            <a:ln w="19050" cap="rnd">
              <a:solidFill>
                <a:srgbClr val="0070C0"/>
              </a:solidFill>
              <a:round/>
            </a:ln>
            <a:effectLst/>
          </c:spPr>
          <c:marker>
            <c:symbol val="triangle"/>
            <c:size val="7"/>
            <c:spPr>
              <a:solidFill>
                <a:srgbClr val="0070C0"/>
              </a:solidFill>
              <a:ln w="9525">
                <a:solidFill>
                  <a:srgbClr val="0070C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Судьбы'!$I$178:$P$178</c:f>
              <c:numCache>
                <c:formatCode>General</c:formatCode>
                <c:ptCount val="8"/>
                <c:pt idx="0">
                  <c:v>0</c:v>
                </c:pt>
                <c:pt idx="1">
                  <c:v>17</c:v>
                </c:pt>
                <c:pt idx="2">
                  <c:v>25</c:v>
                </c:pt>
                <c:pt idx="3">
                  <c:v>44</c:v>
                </c:pt>
                <c:pt idx="4">
                  <c:v>53</c:v>
                </c:pt>
                <c:pt idx="5">
                  <c:v>63</c:v>
                </c:pt>
                <c:pt idx="6">
                  <c:v>74</c:v>
                </c:pt>
                <c:pt idx="7">
                  <c:v>87</c:v>
                </c:pt>
              </c:numCache>
            </c:numRef>
          </c:xVal>
          <c:yVal>
            <c:numRef>
              <c:f>'Кристалл Судьбы'!$I$177:$P$177</c:f>
              <c:numCache>
                <c:formatCode>General</c:formatCode>
                <c:ptCount val="8"/>
                <c:pt idx="0">
                  <c:v>0</c:v>
                </c:pt>
                <c:pt idx="1">
                  <c:v>5</c:v>
                </c:pt>
                <c:pt idx="2">
                  <c:v>1</c:v>
                </c:pt>
                <c:pt idx="3">
                  <c:v>8</c:v>
                </c:pt>
                <c:pt idx="4">
                  <c:v>5</c:v>
                </c:pt>
                <c:pt idx="5">
                  <c:v>3</c:v>
                </c:pt>
                <c:pt idx="6">
                  <c:v>2</c:v>
                </c:pt>
                <c:pt idx="7">
                  <c:v>3</c:v>
                </c:pt>
              </c:numCache>
            </c:numRef>
          </c:yVal>
          <c:smooth val="0"/>
          <c:extLst>
            <c:ext xmlns:c16="http://schemas.microsoft.com/office/drawing/2014/chart" uri="{C3380CC4-5D6E-409C-BE32-E72D297353CC}">
              <c16:uniqueId val="{0000000A-177C-4FE2-9549-ABD0D9BED7A0}"/>
            </c:ext>
          </c:extLst>
        </c:ser>
        <c:ser>
          <c:idx val="4"/>
          <c:order val="2"/>
          <c:tx>
            <c:v>Комфорт Судьба</c:v>
          </c:tx>
          <c:spPr>
            <a:ln w="19050" cap="rnd">
              <a:solidFill>
                <a:schemeClr val="accent4"/>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177C-4FE2-9549-ABD0D9BED7A0}"/>
                </c:ext>
              </c:extLst>
            </c:dLbl>
            <c:dLbl>
              <c:idx val="1"/>
              <c:delete val="1"/>
              <c:extLst>
                <c:ext xmlns:c15="http://schemas.microsoft.com/office/drawing/2012/chart" uri="{CE6537A1-D6FC-4f65-9D91-7224C49458BB}"/>
                <c:ext xmlns:c16="http://schemas.microsoft.com/office/drawing/2014/chart" uri="{C3380CC4-5D6E-409C-BE32-E72D297353CC}">
                  <c16:uniqueId val="{0000000C-177C-4FE2-9549-ABD0D9BED7A0}"/>
                </c:ext>
              </c:extLst>
            </c:dLbl>
            <c:dLbl>
              <c:idx val="2"/>
              <c:delete val="1"/>
              <c:extLst>
                <c:ext xmlns:c15="http://schemas.microsoft.com/office/drawing/2012/chart" uri="{CE6537A1-D6FC-4f65-9D91-7224C49458BB}"/>
                <c:ext xmlns:c16="http://schemas.microsoft.com/office/drawing/2014/chart" uri="{C3380CC4-5D6E-409C-BE32-E72D297353CC}">
                  <c16:uniqueId val="{0000000D-177C-4FE2-9549-ABD0D9BED7A0}"/>
                </c:ext>
              </c:extLst>
            </c:dLbl>
            <c:dLbl>
              <c:idx val="3"/>
              <c:delete val="1"/>
              <c:extLst>
                <c:ext xmlns:c15="http://schemas.microsoft.com/office/drawing/2012/chart" uri="{CE6537A1-D6FC-4f65-9D91-7224C49458BB}"/>
                <c:ext xmlns:c16="http://schemas.microsoft.com/office/drawing/2014/chart" uri="{C3380CC4-5D6E-409C-BE32-E72D297353CC}">
                  <c16:uniqueId val="{0000000E-177C-4FE2-9549-ABD0D9BED7A0}"/>
                </c:ext>
              </c:extLst>
            </c:dLbl>
            <c:dLbl>
              <c:idx val="4"/>
              <c:delete val="1"/>
              <c:extLst>
                <c:ext xmlns:c15="http://schemas.microsoft.com/office/drawing/2012/chart" uri="{CE6537A1-D6FC-4f65-9D91-7224C49458BB}"/>
                <c:ext xmlns:c16="http://schemas.microsoft.com/office/drawing/2014/chart" uri="{C3380CC4-5D6E-409C-BE32-E72D297353CC}">
                  <c16:uniqueId val="{0000000F-177C-4FE2-9549-ABD0D9BED7A0}"/>
                </c:ext>
              </c:extLst>
            </c:dLbl>
            <c:dLbl>
              <c:idx val="5"/>
              <c:delete val="1"/>
              <c:extLst>
                <c:ext xmlns:c15="http://schemas.microsoft.com/office/drawing/2012/chart" uri="{CE6537A1-D6FC-4f65-9D91-7224C49458BB}"/>
                <c:ext xmlns:c16="http://schemas.microsoft.com/office/drawing/2014/chart" uri="{C3380CC4-5D6E-409C-BE32-E72D297353CC}">
                  <c16:uniqueId val="{00000010-177C-4FE2-9549-ABD0D9BED7A0}"/>
                </c:ext>
              </c:extLst>
            </c:dLbl>
            <c:dLbl>
              <c:idx val="6"/>
              <c:delete val="1"/>
              <c:extLst>
                <c:ext xmlns:c15="http://schemas.microsoft.com/office/drawing/2012/chart" uri="{CE6537A1-D6FC-4f65-9D91-7224C49458BB}"/>
                <c:ext xmlns:c16="http://schemas.microsoft.com/office/drawing/2014/chart" uri="{C3380CC4-5D6E-409C-BE32-E72D297353CC}">
                  <c16:uniqueId val="{00000011-177C-4FE2-9549-ABD0D9BED7A0}"/>
                </c:ext>
              </c:extLst>
            </c:dLbl>
            <c:dLbl>
              <c:idx val="7"/>
              <c:layout>
                <c:manualLayout>
                  <c:x val="3.7614876239282301E-2"/>
                  <c:y val="-1.713062098501070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 xmlns:c16="http://schemas.microsoft.com/office/drawing/2014/chart" uri="{C3380CC4-5D6E-409C-BE32-E72D297353CC}">
                  <c16:uniqueId val="{00000012-177C-4FE2-9549-ABD0D9BED7A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Судьбы'!$I$178:$P$178</c:f>
              <c:numCache>
                <c:formatCode>General</c:formatCode>
                <c:ptCount val="8"/>
                <c:pt idx="0">
                  <c:v>0</c:v>
                </c:pt>
                <c:pt idx="1">
                  <c:v>17</c:v>
                </c:pt>
                <c:pt idx="2">
                  <c:v>25</c:v>
                </c:pt>
                <c:pt idx="3">
                  <c:v>44</c:v>
                </c:pt>
                <c:pt idx="4">
                  <c:v>53</c:v>
                </c:pt>
                <c:pt idx="5">
                  <c:v>63</c:v>
                </c:pt>
                <c:pt idx="6">
                  <c:v>74</c:v>
                </c:pt>
                <c:pt idx="7">
                  <c:v>87</c:v>
                </c:pt>
              </c:numCache>
            </c:numRef>
          </c:xVal>
          <c:yVal>
            <c:numRef>
              <c:f>'Кристалл Судьбы'!$I$179:$P$179</c:f>
              <c:numCache>
                <c:formatCode>General</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13-177C-4FE2-9549-ABD0D9BED7A0}"/>
            </c:ext>
          </c:extLst>
        </c:ser>
        <c:ser>
          <c:idx val="6"/>
          <c:order val="3"/>
          <c:tx>
            <c:v>Пересечение Судьба</c:v>
          </c:tx>
          <c:spPr>
            <a:ln w="25400" cap="rnd">
              <a:noFill/>
              <a:round/>
            </a:ln>
            <a:effectLst/>
          </c:spPr>
          <c:marker>
            <c:symbol val="square"/>
            <c:size val="5"/>
            <c:spPr>
              <a:solidFill>
                <a:srgbClr val="0070C0"/>
              </a:solidFill>
              <a:ln w="9525">
                <a:solidFill>
                  <a:srgbClr val="0070C0"/>
                </a:solidFill>
              </a:ln>
              <a:effectLst/>
            </c:spPr>
          </c:marker>
          <c:dLbls>
            <c:dLbl>
              <c:idx val="7"/>
              <c:layout>
                <c:manualLayout>
                  <c:x val="-8.22825417734303E-3"/>
                  <c:y val="4.4967880085653097E-2"/>
                </c:manualLayout>
              </c:layout>
              <c:showLegendKey val="0"/>
              <c:showVal val="0"/>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52FA-4570-8315-D2DF37BC7941}"/>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xVal>
            <c:numRef>
              <c:f>'Кристалл Судьбы'!$I$180:$P$180</c:f>
              <c:numCache>
                <c:formatCode>0.00</c:formatCode>
                <c:ptCount val="8"/>
                <c:pt idx="0" formatCode="General">
                  <c:v>0</c:v>
                </c:pt>
                <c:pt idx="1">
                  <c:v>13.114286422729492</c:v>
                </c:pt>
                <c:pt idx="2">
                  <c:v>19.285713195800781</c:v>
                </c:pt>
                <c:pt idx="3">
                  <c:v>32.755104064941406</c:v>
                </c:pt>
                <c:pt idx="4">
                  <c:v>0</c:v>
                </c:pt>
                <c:pt idx="5">
                  <c:v>58.714286804199219</c:v>
                </c:pt>
                <c:pt idx="6">
                  <c:v>0</c:v>
                </c:pt>
                <c:pt idx="7">
                  <c:v>0</c:v>
                </c:pt>
              </c:numCache>
            </c:numRef>
          </c:xVal>
          <c:yVal>
            <c:numRef>
              <c:f>'Кристалл Судьбы'!$I$179:$P$179</c:f>
              <c:numCache>
                <c:formatCode>General</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1-01DA-41D8-A058-0B64C8FA544D}"/>
            </c:ext>
          </c:extLst>
        </c:ser>
        <c:dLbls>
          <c:showLegendKey val="0"/>
          <c:showVal val="0"/>
          <c:showCatName val="0"/>
          <c:showSerName val="0"/>
          <c:showPercent val="0"/>
          <c:showBubbleSize val="0"/>
        </c:dLbls>
        <c:axId val="30034176"/>
        <c:axId val="30040448"/>
      </c:scatterChart>
      <c:scatterChart>
        <c:scatterStyle val="lineMarker"/>
        <c:varyColors val="0"/>
        <c:ser>
          <c:idx val="2"/>
          <c:order val="4"/>
          <c:tx>
            <c:v>Возраст</c:v>
          </c:tx>
          <c:spPr>
            <a:ln w="19050" cap="rnd">
              <a:solidFill>
                <a:srgbClr val="FF0000"/>
              </a:solidFill>
              <a:prstDash val="dash"/>
              <a:round/>
            </a:ln>
            <a:effectLst/>
          </c:spPr>
          <c:marker>
            <c:symbol val="none"/>
          </c:marker>
          <c:dLbls>
            <c:dLbl>
              <c:idx val="0"/>
              <c:layout>
                <c:manualLayout>
                  <c:x val="-3.4128598560946299E-2"/>
                  <c:y val="-0.37473233404710898"/>
                </c:manualLayout>
              </c:layout>
              <c:showLegendKey val="0"/>
              <c:showVal val="0"/>
              <c:showCatName val="1"/>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52FA-4570-8315-D2DF37BC794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15-177C-4FE2-9549-ABD0D9BED7A0}"/>
            </c:ext>
          </c:extLst>
        </c:ser>
        <c:dLbls>
          <c:showLegendKey val="0"/>
          <c:showVal val="0"/>
          <c:showCatName val="0"/>
          <c:showSerName val="0"/>
          <c:showPercent val="0"/>
          <c:showBubbleSize val="0"/>
        </c:dLbls>
        <c:axId val="30044160"/>
        <c:axId val="30042368"/>
      </c:scatterChart>
      <c:valAx>
        <c:axId val="300341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040448"/>
        <c:crosses val="autoZero"/>
        <c:crossBetween val="midCat"/>
      </c:valAx>
      <c:valAx>
        <c:axId val="30040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034176"/>
        <c:crosses val="autoZero"/>
        <c:crossBetween val="midCat"/>
      </c:valAx>
      <c:valAx>
        <c:axId val="30042368"/>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044160"/>
        <c:crosses val="max"/>
        <c:crossBetween val="midCat"/>
      </c:valAx>
      <c:valAx>
        <c:axId val="30044160"/>
        <c:scaling>
          <c:orientation val="minMax"/>
        </c:scaling>
        <c:delete val="1"/>
        <c:axPos val="b"/>
        <c:numFmt formatCode="General" sourceLinked="1"/>
        <c:majorTickMark val="out"/>
        <c:minorTickMark val="none"/>
        <c:tickLblPos val="nextTo"/>
        <c:crossAx val="3004236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Times New Roman" panose="02020603050405020304" pitchFamily="18" charset="0"/>
                <a:ea typeface="+mj-ea"/>
                <a:cs typeface="Times New Roman" panose="02020603050405020304" pitchFamily="18" charset="0"/>
              </a:defRPr>
            </a:pPr>
            <a:r>
              <a:rPr lang="ru-RU">
                <a:latin typeface="Times New Roman" panose="02020603050405020304" pitchFamily="18" charset="0"/>
                <a:cs typeface="Times New Roman" panose="02020603050405020304" pitchFamily="18" charset="0"/>
              </a:rPr>
              <a:t>Годичные циклы</a:t>
            </a:r>
            <a:endParaRPr lang="en-US">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Times New Roman" panose="02020603050405020304" pitchFamily="18" charset="0"/>
              <a:ea typeface="+mj-ea"/>
              <a:cs typeface="Times New Roman" panose="02020603050405020304" pitchFamily="18" charset="0"/>
            </a:defRPr>
          </a:pPr>
          <a:endParaRPr lang="ru-RU"/>
        </a:p>
      </c:txPr>
    </c:title>
    <c:autoTitleDeleted val="0"/>
    <c:plotArea>
      <c:layout/>
      <c:barChart>
        <c:barDir val="col"/>
        <c:grouping val="clustered"/>
        <c:varyColors val="0"/>
        <c:ser>
          <c:idx val="0"/>
          <c:order val="0"/>
          <c:tx>
            <c:strRef>
              <c:f>'Кристалл Судьбы'!$Z$120</c:f>
              <c:strCache>
                <c:ptCount val="1"/>
                <c:pt idx="0">
                  <c:v>2022</c:v>
                </c:pt>
              </c:strCache>
            </c:strRef>
          </c:tx>
          <c:spPr>
            <a:solidFill>
              <a:schemeClr val="accent6"/>
            </a:solidFill>
            <a:ln>
              <a:noFill/>
            </a:ln>
            <a:effectLst/>
          </c:spPr>
          <c:invertIfNegative val="0"/>
          <c:dLbls>
            <c:dLbl>
              <c:idx val="0"/>
              <c:tx>
                <c:rich>
                  <a:bodyPr/>
                  <a:lstStyle/>
                  <a:p>
                    <a:fld id="{744FED51-DD88-4E9E-806D-5E714F7299E3}"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A2A-4005-A9D8-5E6B6154B777}"/>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2022</c:v>
                </c:pt>
                <c:pt idx="1">
                  <c:v>2023</c:v>
                </c:pt>
                <c:pt idx="2">
                  <c:v>2024</c:v>
                </c:pt>
                <c:pt idx="3">
                  <c:v>2025</c:v>
                </c:pt>
                <c:pt idx="4">
                  <c:v>2026</c:v>
                </c:pt>
                <c:pt idx="5">
                  <c:v>2027</c:v>
                </c:pt>
                <c:pt idx="6">
                  <c:v>2028</c:v>
                </c:pt>
                <c:pt idx="7">
                  <c:v>2029</c:v>
                </c:pt>
                <c:pt idx="8">
                  <c:v>2030</c:v>
                </c:pt>
              </c:numCache>
            </c:numRef>
          </c:cat>
          <c:val>
            <c:numRef>
              <c:f>'Кристалл Судьбы'!$AB$120</c:f>
              <c:numCache>
                <c:formatCode>General</c:formatCode>
                <c:ptCount val="1"/>
                <c:pt idx="0">
                  <c:v>3</c:v>
                </c:pt>
              </c:numCache>
            </c:numRef>
          </c:val>
          <c:extLst>
            <c:ext xmlns:c15="http://schemas.microsoft.com/office/drawing/2012/chart" uri="{02D57815-91ED-43cb-92C2-25804820EDAC}">
              <c15:datalabelsRange>
                <c15:f>'Кристалл Судьбы'!$AA$120:$AA$128</c15:f>
                <c15:dlblRangeCache>
                  <c:ptCount val="9"/>
                  <c:pt idx="0">
                    <c:v>3</c:v>
                  </c:pt>
                  <c:pt idx="1">
                    <c:v>4</c:v>
                  </c:pt>
                  <c:pt idx="2">
                    <c:v>5</c:v>
                  </c:pt>
                  <c:pt idx="3">
                    <c:v>6</c:v>
                  </c:pt>
                  <c:pt idx="4">
                    <c:v>7</c:v>
                  </c:pt>
                  <c:pt idx="5">
                    <c:v>8</c:v>
                  </c:pt>
                  <c:pt idx="6">
                    <c:v>9</c:v>
                  </c:pt>
                  <c:pt idx="7">
                    <c:v>1</c:v>
                  </c:pt>
                  <c:pt idx="8">
                    <c:v>2</c:v>
                  </c:pt>
                </c15:dlblRangeCache>
              </c15:datalabelsRange>
            </c:ext>
            <c:ext xmlns:c16="http://schemas.microsoft.com/office/drawing/2014/chart" uri="{C3380CC4-5D6E-409C-BE32-E72D297353CC}">
              <c16:uniqueId val="{00000001-52B3-4A24-8E82-6A82632C1D8F}"/>
            </c:ext>
          </c:extLst>
        </c:ser>
        <c:ser>
          <c:idx val="1"/>
          <c:order val="1"/>
          <c:tx>
            <c:strRef>
              <c:f>'Кристалл Судьбы'!$Z$121</c:f>
              <c:strCache>
                <c:ptCount val="1"/>
                <c:pt idx="0">
                  <c:v>2023</c:v>
                </c:pt>
              </c:strCache>
            </c:strRef>
          </c:tx>
          <c:spPr>
            <a:solidFill>
              <a:schemeClr val="accent5"/>
            </a:solidFill>
            <a:ln>
              <a:noFill/>
            </a:ln>
            <a:effectLst/>
          </c:spPr>
          <c:invertIfNegative val="0"/>
          <c:dLbls>
            <c:dLbl>
              <c:idx val="0"/>
              <c:tx>
                <c:rich>
                  <a:bodyPr/>
                  <a:lstStyle/>
                  <a:p>
                    <a:fld id="{50855014-CC83-47EB-9169-2258F468DC0F}"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2022</c:v>
                </c:pt>
                <c:pt idx="1">
                  <c:v>2023</c:v>
                </c:pt>
                <c:pt idx="2">
                  <c:v>2024</c:v>
                </c:pt>
                <c:pt idx="3">
                  <c:v>2025</c:v>
                </c:pt>
                <c:pt idx="4">
                  <c:v>2026</c:v>
                </c:pt>
                <c:pt idx="5">
                  <c:v>2027</c:v>
                </c:pt>
                <c:pt idx="6">
                  <c:v>2028</c:v>
                </c:pt>
                <c:pt idx="7">
                  <c:v>2029</c:v>
                </c:pt>
                <c:pt idx="8">
                  <c:v>2030</c:v>
                </c:pt>
              </c:numCache>
            </c:numRef>
          </c:cat>
          <c:val>
            <c:numRef>
              <c:f>'Кристалл Судьбы'!$AB$121</c:f>
              <c:numCache>
                <c:formatCode>General</c:formatCode>
                <c:ptCount val="1"/>
                <c:pt idx="0">
                  <c:v>4</c:v>
                </c:pt>
              </c:numCache>
            </c:numRef>
          </c:val>
          <c:extLst>
            <c:ext xmlns:c15="http://schemas.microsoft.com/office/drawing/2012/chart" uri="{02D57815-91ED-43cb-92C2-25804820EDAC}">
              <c15:datalabelsRange>
                <c15:f>'Кристалл Судьбы'!$AA$121</c15:f>
                <c15:dlblRangeCache>
                  <c:ptCount val="1"/>
                  <c:pt idx="0">
                    <c:v>4</c:v>
                  </c:pt>
                </c15:dlblRangeCache>
              </c15:datalabelsRange>
            </c:ext>
            <c:ext xmlns:c16="http://schemas.microsoft.com/office/drawing/2014/chart" uri="{C3380CC4-5D6E-409C-BE32-E72D297353CC}">
              <c16:uniqueId val="{00000003-52B3-4A24-8E82-6A82632C1D8F}"/>
            </c:ext>
          </c:extLst>
        </c:ser>
        <c:ser>
          <c:idx val="2"/>
          <c:order val="2"/>
          <c:tx>
            <c:strRef>
              <c:f>'Кристалл Судьбы'!$Z$122</c:f>
              <c:strCache>
                <c:ptCount val="1"/>
                <c:pt idx="0">
                  <c:v>2024</c:v>
                </c:pt>
              </c:strCache>
            </c:strRef>
          </c:tx>
          <c:spPr>
            <a:solidFill>
              <a:schemeClr val="accent4"/>
            </a:solidFill>
            <a:ln>
              <a:noFill/>
            </a:ln>
            <a:effectLst/>
          </c:spPr>
          <c:invertIfNegative val="0"/>
          <c:dLbls>
            <c:dLbl>
              <c:idx val="0"/>
              <c:tx>
                <c:rich>
                  <a:bodyPr/>
                  <a:lstStyle/>
                  <a:p>
                    <a:fld id="{94A78034-6E9B-40E9-B061-9C06666B3465}"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2022</c:v>
                </c:pt>
                <c:pt idx="1">
                  <c:v>2023</c:v>
                </c:pt>
                <c:pt idx="2">
                  <c:v>2024</c:v>
                </c:pt>
                <c:pt idx="3">
                  <c:v>2025</c:v>
                </c:pt>
                <c:pt idx="4">
                  <c:v>2026</c:v>
                </c:pt>
                <c:pt idx="5">
                  <c:v>2027</c:v>
                </c:pt>
                <c:pt idx="6">
                  <c:v>2028</c:v>
                </c:pt>
                <c:pt idx="7">
                  <c:v>2029</c:v>
                </c:pt>
                <c:pt idx="8">
                  <c:v>2030</c:v>
                </c:pt>
              </c:numCache>
            </c:numRef>
          </c:cat>
          <c:val>
            <c:numRef>
              <c:f>'Кристалл Судьбы'!$AB$122</c:f>
              <c:numCache>
                <c:formatCode>General</c:formatCode>
                <c:ptCount val="1"/>
                <c:pt idx="0">
                  <c:v>5</c:v>
                </c:pt>
              </c:numCache>
            </c:numRef>
          </c:val>
          <c:extLst>
            <c:ext xmlns:c15="http://schemas.microsoft.com/office/drawing/2012/chart" uri="{02D57815-91ED-43cb-92C2-25804820EDAC}">
              <c15:datalabelsRange>
                <c15:f>'Кристалл Судьбы'!$AA$122</c15:f>
                <c15:dlblRangeCache>
                  <c:ptCount val="1"/>
                  <c:pt idx="0">
                    <c:v>5</c:v>
                  </c:pt>
                </c15:dlblRangeCache>
              </c15:datalabelsRange>
            </c:ext>
            <c:ext xmlns:c16="http://schemas.microsoft.com/office/drawing/2014/chart" uri="{C3380CC4-5D6E-409C-BE32-E72D297353CC}">
              <c16:uniqueId val="{00000005-52B3-4A24-8E82-6A82632C1D8F}"/>
            </c:ext>
          </c:extLst>
        </c:ser>
        <c:ser>
          <c:idx val="3"/>
          <c:order val="3"/>
          <c:tx>
            <c:strRef>
              <c:f>'Кристалл Судьбы'!$Z$123</c:f>
              <c:strCache>
                <c:ptCount val="1"/>
                <c:pt idx="0">
                  <c:v>2025</c:v>
                </c:pt>
              </c:strCache>
            </c:strRef>
          </c:tx>
          <c:spPr>
            <a:solidFill>
              <a:schemeClr val="accent6">
                <a:lumMod val="60000"/>
              </a:schemeClr>
            </a:solidFill>
            <a:ln>
              <a:noFill/>
            </a:ln>
            <a:effectLst/>
          </c:spPr>
          <c:invertIfNegative val="0"/>
          <c:dLbls>
            <c:dLbl>
              <c:idx val="0"/>
              <c:tx>
                <c:rich>
                  <a:bodyPr/>
                  <a:lstStyle/>
                  <a:p>
                    <a:fld id="{A7BF98D3-26CA-4B7C-A8A7-E057ACB5AC5F}"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2022</c:v>
                </c:pt>
                <c:pt idx="1">
                  <c:v>2023</c:v>
                </c:pt>
                <c:pt idx="2">
                  <c:v>2024</c:v>
                </c:pt>
                <c:pt idx="3">
                  <c:v>2025</c:v>
                </c:pt>
                <c:pt idx="4">
                  <c:v>2026</c:v>
                </c:pt>
                <c:pt idx="5">
                  <c:v>2027</c:v>
                </c:pt>
                <c:pt idx="6">
                  <c:v>2028</c:v>
                </c:pt>
                <c:pt idx="7">
                  <c:v>2029</c:v>
                </c:pt>
                <c:pt idx="8">
                  <c:v>2030</c:v>
                </c:pt>
              </c:numCache>
            </c:numRef>
          </c:cat>
          <c:val>
            <c:numRef>
              <c:f>'Кристалл Судьбы'!$AB$123</c:f>
              <c:numCache>
                <c:formatCode>General</c:formatCode>
                <c:ptCount val="1"/>
                <c:pt idx="0">
                  <c:v>4</c:v>
                </c:pt>
              </c:numCache>
            </c:numRef>
          </c:val>
          <c:extLst>
            <c:ext xmlns:c15="http://schemas.microsoft.com/office/drawing/2012/chart" uri="{02D57815-91ED-43cb-92C2-25804820EDAC}">
              <c15:datalabelsRange>
                <c15:f>'Кристалл Судьбы'!$AA$123</c15:f>
                <c15:dlblRangeCache>
                  <c:ptCount val="1"/>
                  <c:pt idx="0">
                    <c:v>6</c:v>
                  </c:pt>
                </c15:dlblRangeCache>
              </c15:datalabelsRange>
            </c:ext>
            <c:ext xmlns:c16="http://schemas.microsoft.com/office/drawing/2014/chart" uri="{C3380CC4-5D6E-409C-BE32-E72D297353CC}">
              <c16:uniqueId val="{00000007-52B3-4A24-8E82-6A82632C1D8F}"/>
            </c:ext>
          </c:extLst>
        </c:ser>
        <c:ser>
          <c:idx val="4"/>
          <c:order val="4"/>
          <c:tx>
            <c:strRef>
              <c:f>'Кристалл Судьбы'!$Z$124</c:f>
              <c:strCache>
                <c:ptCount val="1"/>
                <c:pt idx="0">
                  <c:v>2026</c:v>
                </c:pt>
              </c:strCache>
            </c:strRef>
          </c:tx>
          <c:spPr>
            <a:solidFill>
              <a:schemeClr val="accent5">
                <a:lumMod val="60000"/>
              </a:schemeClr>
            </a:solidFill>
            <a:ln>
              <a:noFill/>
            </a:ln>
            <a:effectLst/>
          </c:spPr>
          <c:invertIfNegative val="0"/>
          <c:dLbls>
            <c:dLbl>
              <c:idx val="0"/>
              <c:tx>
                <c:rich>
                  <a:bodyPr/>
                  <a:lstStyle/>
                  <a:p>
                    <a:fld id="{CF0C1EA7-C42E-4C46-94E5-66BDE0EDB07C}"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tx1">
                          <a:lumMod val="35000"/>
                          <a:lumOff val="65000"/>
                        </a:schemeClr>
                      </a:solidFill>
                    </a:ln>
                    <a:effectLst/>
                  </c:spPr>
                </c15:leaderLines>
              </c:ext>
            </c:extLst>
          </c:dLbls>
          <c:cat>
            <c:numRef>
              <c:f>'Кристалл Судьбы'!$Z$120:$Z$128</c:f>
              <c:numCache>
                <c:formatCode>General</c:formatCode>
                <c:ptCount val="9"/>
                <c:pt idx="0">
                  <c:v>2022</c:v>
                </c:pt>
                <c:pt idx="1">
                  <c:v>2023</c:v>
                </c:pt>
                <c:pt idx="2">
                  <c:v>2024</c:v>
                </c:pt>
                <c:pt idx="3">
                  <c:v>2025</c:v>
                </c:pt>
                <c:pt idx="4">
                  <c:v>2026</c:v>
                </c:pt>
                <c:pt idx="5">
                  <c:v>2027</c:v>
                </c:pt>
                <c:pt idx="6">
                  <c:v>2028</c:v>
                </c:pt>
                <c:pt idx="7">
                  <c:v>2029</c:v>
                </c:pt>
                <c:pt idx="8">
                  <c:v>2030</c:v>
                </c:pt>
              </c:numCache>
            </c:numRef>
          </c:cat>
          <c:val>
            <c:numRef>
              <c:f>'Кристалл Судьбы'!$AB$124</c:f>
              <c:numCache>
                <c:formatCode>General</c:formatCode>
                <c:ptCount val="1"/>
                <c:pt idx="0">
                  <c:v>3</c:v>
                </c:pt>
              </c:numCache>
            </c:numRef>
          </c:val>
          <c:extLst>
            <c:ext xmlns:c15="http://schemas.microsoft.com/office/drawing/2012/chart" uri="{02D57815-91ED-43cb-92C2-25804820EDAC}">
              <c15:datalabelsRange>
                <c15:f>'Кристалл Судьбы'!$AA$124</c15:f>
                <c15:dlblRangeCache>
                  <c:ptCount val="1"/>
                  <c:pt idx="0">
                    <c:v>7</c:v>
                  </c:pt>
                </c15:dlblRangeCache>
              </c15:datalabelsRange>
            </c:ext>
            <c:ext xmlns:c16="http://schemas.microsoft.com/office/drawing/2014/chart" uri="{C3380CC4-5D6E-409C-BE32-E72D297353CC}">
              <c16:uniqueId val="{00000009-52B3-4A24-8E82-6A82632C1D8F}"/>
            </c:ext>
          </c:extLst>
        </c:ser>
        <c:ser>
          <c:idx val="5"/>
          <c:order val="5"/>
          <c:tx>
            <c:strRef>
              <c:f>'Кристалл Судьбы'!$Z$125</c:f>
              <c:strCache>
                <c:ptCount val="1"/>
                <c:pt idx="0">
                  <c:v>2027</c:v>
                </c:pt>
              </c:strCache>
            </c:strRef>
          </c:tx>
          <c:spPr>
            <a:solidFill>
              <a:schemeClr val="accent4">
                <a:lumMod val="60000"/>
              </a:schemeClr>
            </a:solidFill>
            <a:ln>
              <a:noFill/>
            </a:ln>
            <a:effectLst/>
          </c:spPr>
          <c:invertIfNegative val="0"/>
          <c:dLbls>
            <c:dLbl>
              <c:idx val="0"/>
              <c:tx>
                <c:rich>
                  <a:bodyPr/>
                  <a:lstStyle/>
                  <a:p>
                    <a:fld id="{0E63C7C5-A299-4A8D-813D-F96D865C4712}"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2022</c:v>
                </c:pt>
                <c:pt idx="1">
                  <c:v>2023</c:v>
                </c:pt>
                <c:pt idx="2">
                  <c:v>2024</c:v>
                </c:pt>
                <c:pt idx="3">
                  <c:v>2025</c:v>
                </c:pt>
                <c:pt idx="4">
                  <c:v>2026</c:v>
                </c:pt>
                <c:pt idx="5">
                  <c:v>2027</c:v>
                </c:pt>
                <c:pt idx="6">
                  <c:v>2028</c:v>
                </c:pt>
                <c:pt idx="7">
                  <c:v>2029</c:v>
                </c:pt>
                <c:pt idx="8">
                  <c:v>2030</c:v>
                </c:pt>
              </c:numCache>
            </c:numRef>
          </c:cat>
          <c:val>
            <c:numRef>
              <c:f>'Кристалл Судьбы'!$AB$125</c:f>
              <c:numCache>
                <c:formatCode>General</c:formatCode>
                <c:ptCount val="1"/>
                <c:pt idx="0">
                  <c:v>2</c:v>
                </c:pt>
              </c:numCache>
            </c:numRef>
          </c:val>
          <c:extLst>
            <c:ext xmlns:c15="http://schemas.microsoft.com/office/drawing/2012/chart" uri="{02D57815-91ED-43cb-92C2-25804820EDAC}">
              <c15:datalabelsRange>
                <c15:f>'Кристалл Судьбы'!$AA$125</c15:f>
                <c15:dlblRangeCache>
                  <c:ptCount val="1"/>
                  <c:pt idx="0">
                    <c:v>8</c:v>
                  </c:pt>
                </c15:dlblRangeCache>
              </c15:datalabelsRange>
            </c:ext>
            <c:ext xmlns:c16="http://schemas.microsoft.com/office/drawing/2014/chart" uri="{C3380CC4-5D6E-409C-BE32-E72D297353CC}">
              <c16:uniqueId val="{0000000B-52B3-4A24-8E82-6A82632C1D8F}"/>
            </c:ext>
          </c:extLst>
        </c:ser>
        <c:ser>
          <c:idx val="6"/>
          <c:order val="6"/>
          <c:tx>
            <c:strRef>
              <c:f>'Кристалл Судьбы'!$Z$126</c:f>
              <c:strCache>
                <c:ptCount val="1"/>
                <c:pt idx="0">
                  <c:v>2028</c:v>
                </c:pt>
              </c:strCache>
            </c:strRef>
          </c:tx>
          <c:spPr>
            <a:solidFill>
              <a:schemeClr val="accent6">
                <a:lumMod val="80000"/>
                <a:lumOff val="20000"/>
              </a:schemeClr>
            </a:solidFill>
            <a:ln>
              <a:noFill/>
            </a:ln>
            <a:effectLst/>
          </c:spPr>
          <c:invertIfNegative val="0"/>
          <c:dLbls>
            <c:dLbl>
              <c:idx val="0"/>
              <c:tx>
                <c:rich>
                  <a:bodyPr/>
                  <a:lstStyle/>
                  <a:p>
                    <a:fld id="{E22946E8-88C9-4916-B288-56BB4DA3E59E}"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2022</c:v>
                </c:pt>
                <c:pt idx="1">
                  <c:v>2023</c:v>
                </c:pt>
                <c:pt idx="2">
                  <c:v>2024</c:v>
                </c:pt>
                <c:pt idx="3">
                  <c:v>2025</c:v>
                </c:pt>
                <c:pt idx="4">
                  <c:v>2026</c:v>
                </c:pt>
                <c:pt idx="5">
                  <c:v>2027</c:v>
                </c:pt>
                <c:pt idx="6">
                  <c:v>2028</c:v>
                </c:pt>
                <c:pt idx="7">
                  <c:v>2029</c:v>
                </c:pt>
                <c:pt idx="8">
                  <c:v>2030</c:v>
                </c:pt>
              </c:numCache>
            </c:numRef>
          </c:cat>
          <c:val>
            <c:numRef>
              <c:f>'Кристалл Судьбы'!$AB$126</c:f>
              <c:numCache>
                <c:formatCode>General</c:formatCode>
                <c:ptCount val="1"/>
                <c:pt idx="0">
                  <c:v>1</c:v>
                </c:pt>
              </c:numCache>
            </c:numRef>
          </c:val>
          <c:extLst>
            <c:ext xmlns:c15="http://schemas.microsoft.com/office/drawing/2012/chart" uri="{02D57815-91ED-43cb-92C2-25804820EDAC}">
              <c15:datalabelsRange>
                <c15:f>'Кристалл Судьбы'!$AA$126</c15:f>
                <c15:dlblRangeCache>
                  <c:ptCount val="1"/>
                  <c:pt idx="0">
                    <c:v>9</c:v>
                  </c:pt>
                </c15:dlblRangeCache>
              </c15:datalabelsRange>
            </c:ext>
            <c:ext xmlns:c16="http://schemas.microsoft.com/office/drawing/2014/chart" uri="{C3380CC4-5D6E-409C-BE32-E72D297353CC}">
              <c16:uniqueId val="{0000000D-52B3-4A24-8E82-6A82632C1D8F}"/>
            </c:ext>
          </c:extLst>
        </c:ser>
        <c:ser>
          <c:idx val="7"/>
          <c:order val="7"/>
          <c:tx>
            <c:strRef>
              <c:f>'Кристалл Судьбы'!$Z$127</c:f>
              <c:strCache>
                <c:ptCount val="1"/>
                <c:pt idx="0">
                  <c:v>2029</c:v>
                </c:pt>
              </c:strCache>
            </c:strRef>
          </c:tx>
          <c:spPr>
            <a:solidFill>
              <a:schemeClr val="accent5">
                <a:lumMod val="80000"/>
                <a:lumOff val="20000"/>
              </a:schemeClr>
            </a:solidFill>
            <a:ln>
              <a:noFill/>
            </a:ln>
            <a:effectLst/>
          </c:spPr>
          <c:invertIfNegative val="0"/>
          <c:dLbls>
            <c:dLbl>
              <c:idx val="0"/>
              <c:tx>
                <c:rich>
                  <a:bodyPr/>
                  <a:lstStyle/>
                  <a:p>
                    <a:fld id="{E7540A2C-FFAE-4120-ABD0-6CD474819021}"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2022</c:v>
                </c:pt>
                <c:pt idx="1">
                  <c:v>2023</c:v>
                </c:pt>
                <c:pt idx="2">
                  <c:v>2024</c:v>
                </c:pt>
                <c:pt idx="3">
                  <c:v>2025</c:v>
                </c:pt>
                <c:pt idx="4">
                  <c:v>2026</c:v>
                </c:pt>
                <c:pt idx="5">
                  <c:v>2027</c:v>
                </c:pt>
                <c:pt idx="6">
                  <c:v>2028</c:v>
                </c:pt>
                <c:pt idx="7">
                  <c:v>2029</c:v>
                </c:pt>
                <c:pt idx="8">
                  <c:v>2030</c:v>
                </c:pt>
              </c:numCache>
            </c:numRef>
          </c:cat>
          <c:val>
            <c:numRef>
              <c:f>'Кристалл Судьбы'!$AB$127</c:f>
              <c:numCache>
                <c:formatCode>General</c:formatCode>
                <c:ptCount val="1"/>
                <c:pt idx="0">
                  <c:v>1</c:v>
                </c:pt>
              </c:numCache>
            </c:numRef>
          </c:val>
          <c:extLst>
            <c:ext xmlns:c15="http://schemas.microsoft.com/office/drawing/2012/chart" uri="{02D57815-91ED-43cb-92C2-25804820EDAC}">
              <c15:datalabelsRange>
                <c15:f>'Кристалл Судьбы'!$AA$127</c15:f>
                <c15:dlblRangeCache>
                  <c:ptCount val="1"/>
                  <c:pt idx="0">
                    <c:v>1</c:v>
                  </c:pt>
                </c15:dlblRangeCache>
              </c15:datalabelsRange>
            </c:ext>
            <c:ext xmlns:c16="http://schemas.microsoft.com/office/drawing/2014/chart" uri="{C3380CC4-5D6E-409C-BE32-E72D297353CC}">
              <c16:uniqueId val="{0000000F-52B3-4A24-8E82-6A82632C1D8F}"/>
            </c:ext>
          </c:extLst>
        </c:ser>
        <c:ser>
          <c:idx val="8"/>
          <c:order val="8"/>
          <c:tx>
            <c:strRef>
              <c:f>'Кристалл Судьбы'!$Z$128</c:f>
              <c:strCache>
                <c:ptCount val="1"/>
                <c:pt idx="0">
                  <c:v>2030</c:v>
                </c:pt>
              </c:strCache>
            </c:strRef>
          </c:tx>
          <c:spPr>
            <a:solidFill>
              <a:schemeClr val="accent4">
                <a:lumMod val="80000"/>
                <a:lumOff val="20000"/>
              </a:schemeClr>
            </a:solidFill>
            <a:ln>
              <a:noFill/>
            </a:ln>
            <a:effectLst/>
          </c:spPr>
          <c:invertIfNegative val="0"/>
          <c:dLbls>
            <c:dLbl>
              <c:idx val="0"/>
              <c:tx>
                <c:rich>
                  <a:bodyPr/>
                  <a:lstStyle/>
                  <a:p>
                    <a:fld id="{88947B58-0945-4AFE-AF1A-54D00735347E}" type="CELLRANGE">
                      <a:rPr lang="ru-RU"/>
                      <a:pPr/>
                      <a:t>[ДИАПАЗОН ЯЧЕЕК]</a:t>
                    </a:fld>
                    <a:endParaRPr lang="ru-RU"/>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A2A-4005-A9D8-5E6B6154B77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ru-RU"/>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'Кристалл Судьбы'!$Z$120:$Z$128</c:f>
              <c:numCache>
                <c:formatCode>General</c:formatCode>
                <c:ptCount val="9"/>
                <c:pt idx="0">
                  <c:v>2022</c:v>
                </c:pt>
                <c:pt idx="1">
                  <c:v>2023</c:v>
                </c:pt>
                <c:pt idx="2">
                  <c:v>2024</c:v>
                </c:pt>
                <c:pt idx="3">
                  <c:v>2025</c:v>
                </c:pt>
                <c:pt idx="4">
                  <c:v>2026</c:v>
                </c:pt>
                <c:pt idx="5">
                  <c:v>2027</c:v>
                </c:pt>
                <c:pt idx="6">
                  <c:v>2028</c:v>
                </c:pt>
                <c:pt idx="7">
                  <c:v>2029</c:v>
                </c:pt>
                <c:pt idx="8">
                  <c:v>2030</c:v>
                </c:pt>
              </c:numCache>
            </c:numRef>
          </c:cat>
          <c:val>
            <c:numRef>
              <c:f>'Кристалл Судьбы'!$AB$128</c:f>
              <c:numCache>
                <c:formatCode>General</c:formatCode>
                <c:ptCount val="1"/>
                <c:pt idx="0">
                  <c:v>2</c:v>
                </c:pt>
              </c:numCache>
            </c:numRef>
          </c:val>
          <c:extLst>
            <c:ext xmlns:c15="http://schemas.microsoft.com/office/drawing/2012/chart" uri="{02D57815-91ED-43cb-92C2-25804820EDAC}">
              <c15:datalabelsRange>
                <c15:f>'Кристалл Судьбы'!$AA$128</c15:f>
                <c15:dlblRangeCache>
                  <c:ptCount val="1"/>
                  <c:pt idx="0">
                    <c:v>2</c:v>
                  </c:pt>
                </c15:dlblRangeCache>
              </c15:datalabelsRange>
            </c:ext>
            <c:ext xmlns:c16="http://schemas.microsoft.com/office/drawing/2014/chart" uri="{C3380CC4-5D6E-409C-BE32-E72D297353CC}">
              <c16:uniqueId val="{00000011-52B3-4A24-8E82-6A82632C1D8F}"/>
            </c:ext>
          </c:extLst>
        </c:ser>
        <c:dLbls>
          <c:dLblPos val="inEnd"/>
          <c:showLegendKey val="0"/>
          <c:showVal val="1"/>
          <c:showCatName val="0"/>
          <c:showSerName val="0"/>
          <c:showPercent val="0"/>
          <c:showBubbleSize val="0"/>
        </c:dLbls>
        <c:gapWidth val="199"/>
        <c:axId val="31175808"/>
        <c:axId val="31177344"/>
      </c:barChart>
      <c:catAx>
        <c:axId val="31175808"/>
        <c:scaling>
          <c:orientation val="minMax"/>
        </c:scaling>
        <c:delete val="1"/>
        <c:axPos val="b"/>
        <c:numFmt formatCode="General" sourceLinked="1"/>
        <c:majorTickMark val="none"/>
        <c:minorTickMark val="none"/>
        <c:tickLblPos val="nextTo"/>
        <c:crossAx val="31177344"/>
        <c:crosses val="autoZero"/>
        <c:auto val="1"/>
        <c:lblAlgn val="ctr"/>
        <c:lblOffset val="100"/>
        <c:noMultiLvlLbl val="0"/>
      </c:catAx>
      <c:valAx>
        <c:axId val="3117734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ru-RU"/>
          </a:p>
        </c:txPr>
        <c:crossAx val="311758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Личной жизни</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1"/>
          <c:order val="0"/>
          <c:tx>
            <c:v>Личная Жизнь</c:v>
          </c:tx>
          <c:spPr>
            <a:ln w="19050"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numRef>
              <c:f>'Кристалл Судьбы'!$I$140:$P$140</c:f>
              <c:numCache>
                <c:formatCode>0</c:formatCode>
                <c:ptCount val="8"/>
                <c:pt idx="0" formatCode="General">
                  <c:v>0</c:v>
                </c:pt>
                <c:pt idx="1">
                  <c:v>13</c:v>
                </c:pt>
                <c:pt idx="2">
                  <c:v>26</c:v>
                </c:pt>
                <c:pt idx="3">
                  <c:v>31</c:v>
                </c:pt>
                <c:pt idx="4">
                  <c:v>49</c:v>
                </c:pt>
                <c:pt idx="5">
                  <c:v>59</c:v>
                </c:pt>
                <c:pt idx="6">
                  <c:v>68</c:v>
                </c:pt>
                <c:pt idx="7">
                  <c:v>70</c:v>
                </c:pt>
              </c:numCache>
            </c:numRef>
          </c:xVal>
          <c:yVal>
            <c:numRef>
              <c:f>'Кристалл Судьбы'!$I$139:$P$139</c:f>
              <c:numCache>
                <c:formatCode>General</c:formatCode>
                <c:ptCount val="8"/>
                <c:pt idx="0">
                  <c:v>0</c:v>
                </c:pt>
                <c:pt idx="1">
                  <c:v>3</c:v>
                </c:pt>
                <c:pt idx="2">
                  <c:v>6</c:v>
                </c:pt>
                <c:pt idx="3">
                  <c:v>1</c:v>
                </c:pt>
                <c:pt idx="4">
                  <c:v>9</c:v>
                </c:pt>
                <c:pt idx="5">
                  <c:v>9</c:v>
                </c:pt>
                <c:pt idx="6">
                  <c:v>8</c:v>
                </c:pt>
                <c:pt idx="7">
                  <c:v>0</c:v>
                </c:pt>
              </c:numCache>
            </c:numRef>
          </c:yVal>
          <c:smooth val="0"/>
          <c:extLst>
            <c:ext xmlns:c16="http://schemas.microsoft.com/office/drawing/2014/chart" uri="{C3380CC4-5D6E-409C-BE32-E72D297353CC}">
              <c16:uniqueId val="{0000000C-89DC-4B30-9F06-F17F9827ADAB}"/>
            </c:ext>
          </c:extLst>
        </c:ser>
        <c:ser>
          <c:idx val="3"/>
          <c:order val="1"/>
          <c:tx>
            <c:v>Линия Комфорта</c:v>
          </c:tx>
          <c:spPr>
            <a:ln w="19050" cap="rnd">
              <a:solidFill>
                <a:schemeClr val="accent4"/>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89DC-4B30-9F06-F17F9827ADAB}"/>
                </c:ext>
              </c:extLst>
            </c:dLbl>
            <c:dLbl>
              <c:idx val="1"/>
              <c:delete val="1"/>
              <c:extLst>
                <c:ext xmlns:c15="http://schemas.microsoft.com/office/drawing/2012/chart" uri="{CE6537A1-D6FC-4f65-9D91-7224C49458BB}"/>
                <c:ext xmlns:c16="http://schemas.microsoft.com/office/drawing/2014/chart" uri="{C3380CC4-5D6E-409C-BE32-E72D297353CC}">
                  <c16:uniqueId val="{00000002-89DC-4B30-9F06-F17F9827ADAB}"/>
                </c:ext>
              </c:extLst>
            </c:dLbl>
            <c:dLbl>
              <c:idx val="2"/>
              <c:delete val="1"/>
              <c:extLst>
                <c:ext xmlns:c15="http://schemas.microsoft.com/office/drawing/2012/chart" uri="{CE6537A1-D6FC-4f65-9D91-7224C49458BB}"/>
                <c:ext xmlns:c16="http://schemas.microsoft.com/office/drawing/2014/chart" uri="{C3380CC4-5D6E-409C-BE32-E72D297353CC}">
                  <c16:uniqueId val="{00000003-89DC-4B30-9F06-F17F9827ADAB}"/>
                </c:ext>
              </c:extLst>
            </c:dLbl>
            <c:dLbl>
              <c:idx val="3"/>
              <c:delete val="1"/>
              <c:extLst>
                <c:ext xmlns:c15="http://schemas.microsoft.com/office/drawing/2012/chart" uri="{CE6537A1-D6FC-4f65-9D91-7224C49458BB}"/>
                <c:ext xmlns:c16="http://schemas.microsoft.com/office/drawing/2014/chart" uri="{C3380CC4-5D6E-409C-BE32-E72D297353CC}">
                  <c16:uniqueId val="{00000004-89DC-4B30-9F06-F17F9827ADAB}"/>
                </c:ext>
              </c:extLst>
            </c:dLbl>
            <c:dLbl>
              <c:idx val="4"/>
              <c:delete val="1"/>
              <c:extLst>
                <c:ext xmlns:c15="http://schemas.microsoft.com/office/drawing/2012/chart" uri="{CE6537A1-D6FC-4f65-9D91-7224C49458BB}"/>
                <c:ext xmlns:c16="http://schemas.microsoft.com/office/drawing/2014/chart" uri="{C3380CC4-5D6E-409C-BE32-E72D297353CC}">
                  <c16:uniqueId val="{00000005-89DC-4B30-9F06-F17F9827ADAB}"/>
                </c:ext>
              </c:extLst>
            </c:dLbl>
            <c:dLbl>
              <c:idx val="5"/>
              <c:delete val="1"/>
              <c:extLst>
                <c:ext xmlns:c15="http://schemas.microsoft.com/office/drawing/2012/chart" uri="{CE6537A1-D6FC-4f65-9D91-7224C49458BB}"/>
                <c:ext xmlns:c16="http://schemas.microsoft.com/office/drawing/2014/chart" uri="{C3380CC4-5D6E-409C-BE32-E72D297353CC}">
                  <c16:uniqueId val="{00000006-89DC-4B30-9F06-F17F9827ADAB}"/>
                </c:ext>
              </c:extLst>
            </c:dLbl>
            <c:dLbl>
              <c:idx val="6"/>
              <c:delete val="1"/>
              <c:extLst>
                <c:ext xmlns:c15="http://schemas.microsoft.com/office/drawing/2012/chart" uri="{CE6537A1-D6FC-4f65-9D91-7224C49458BB}"/>
                <c:ext xmlns:c16="http://schemas.microsoft.com/office/drawing/2014/chart" uri="{C3380CC4-5D6E-409C-BE32-E72D297353CC}">
                  <c16:uniqueId val="{00000007-89DC-4B30-9F06-F17F9827ADAB}"/>
                </c:ext>
              </c:extLst>
            </c:dLbl>
            <c:dLbl>
              <c:idx val="7"/>
              <c:layout>
                <c:manualLayout>
                  <c:x val="3.4188031014475699E-2"/>
                  <c:y val="-2.7987082884822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 xmlns:c16="http://schemas.microsoft.com/office/drawing/2014/chart" uri="{C3380CC4-5D6E-409C-BE32-E72D297353CC}">
                  <c16:uniqueId val="{00000008-89DC-4B30-9F06-F17F9827ADA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Судьбы'!$I$131:$P$131</c:f>
              <c:numCache>
                <c:formatCode>0</c:formatCode>
                <c:ptCount val="8"/>
                <c:pt idx="0" formatCode="General">
                  <c:v>0</c:v>
                </c:pt>
                <c:pt idx="1">
                  <c:v>15</c:v>
                </c:pt>
                <c:pt idx="2">
                  <c:v>21</c:v>
                </c:pt>
                <c:pt idx="3">
                  <c:v>38</c:v>
                </c:pt>
                <c:pt idx="4">
                  <c:v>45</c:v>
                </c:pt>
                <c:pt idx="5">
                  <c:v>53</c:v>
                </c:pt>
                <c:pt idx="6">
                  <c:v>62</c:v>
                </c:pt>
                <c:pt idx="7">
                  <c:v>73</c:v>
                </c:pt>
              </c:numCache>
            </c:numRef>
          </c:xVal>
          <c:yVal>
            <c:numRef>
              <c:f>'Кристалл Судьбы'!$I$141:$P$141</c:f>
              <c:numCache>
                <c:formatCode>General</c:formatCode>
                <c:ptCount val="8"/>
                <c:pt idx="0">
                  <c:v>5.1428571428571432</c:v>
                </c:pt>
                <c:pt idx="1">
                  <c:v>5.1428571428571432</c:v>
                </c:pt>
                <c:pt idx="2">
                  <c:v>5.1428571428571432</c:v>
                </c:pt>
                <c:pt idx="3">
                  <c:v>5.1428571428571432</c:v>
                </c:pt>
                <c:pt idx="4">
                  <c:v>5.1428571428571432</c:v>
                </c:pt>
                <c:pt idx="5">
                  <c:v>5.1428571428571432</c:v>
                </c:pt>
                <c:pt idx="6">
                  <c:v>5.1428571428571432</c:v>
                </c:pt>
                <c:pt idx="7">
                  <c:v>5.1428571428571432</c:v>
                </c:pt>
              </c:numCache>
            </c:numRef>
          </c:yVal>
          <c:smooth val="0"/>
          <c:extLst>
            <c:ext xmlns:c16="http://schemas.microsoft.com/office/drawing/2014/chart" uri="{C3380CC4-5D6E-409C-BE32-E72D297353CC}">
              <c16:uniqueId val="{00000009-89DC-4B30-9F06-F17F9827ADAB}"/>
            </c:ext>
          </c:extLst>
        </c:ser>
        <c:ser>
          <c:idx val="6"/>
          <c:order val="2"/>
          <c:tx>
            <c:v>Пересечение Личная Жизнь</c:v>
          </c:tx>
          <c:spPr>
            <a:ln w="25400" cap="rnd">
              <a:noFill/>
              <a:round/>
            </a:ln>
            <a:effectLst/>
          </c:spPr>
          <c:marker>
            <c:symbol val="square"/>
            <c:size val="5"/>
            <c:spPr>
              <a:solidFill>
                <a:srgbClr val="00B050"/>
              </a:solidFill>
              <a:ln w="9525">
                <a:solidFill>
                  <a:srgbClr val="00B050"/>
                </a:solidFill>
              </a:ln>
              <a:effectLst/>
            </c:spPr>
          </c:marker>
          <c:dLbls>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15:showLeaderLines val="0"/>
              </c:ext>
            </c:extLst>
          </c:dLbls>
          <c:xVal>
            <c:numRef>
              <c:f>'Кристалл Судьбы'!$I$142:$P$142</c:f>
              <c:numCache>
                <c:formatCode>0.00</c:formatCode>
                <c:ptCount val="8"/>
                <c:pt idx="0">
                  <c:v>0</c:v>
                </c:pt>
                <c:pt idx="1">
                  <c:v>0</c:v>
                </c:pt>
                <c:pt idx="2">
                  <c:v>22.285713195800781</c:v>
                </c:pt>
                <c:pt idx="3">
                  <c:v>26.857143402099609</c:v>
                </c:pt>
                <c:pt idx="4">
                  <c:v>40.321430206298828</c:v>
                </c:pt>
                <c:pt idx="5">
                  <c:v>0</c:v>
                </c:pt>
                <c:pt idx="6">
                  <c:v>0</c:v>
                </c:pt>
                <c:pt idx="7">
                  <c:v>68.714286804199219</c:v>
                </c:pt>
              </c:numCache>
            </c:numRef>
          </c:xVal>
          <c:yVal>
            <c:numRef>
              <c:f>'Кристалл Судьбы'!$I$141:$P$141</c:f>
              <c:numCache>
                <c:formatCode>General</c:formatCode>
                <c:ptCount val="8"/>
                <c:pt idx="0">
                  <c:v>5.1428571428571432</c:v>
                </c:pt>
                <c:pt idx="1">
                  <c:v>5.1428571428571432</c:v>
                </c:pt>
                <c:pt idx="2">
                  <c:v>5.1428571428571432</c:v>
                </c:pt>
                <c:pt idx="3">
                  <c:v>5.1428571428571432</c:v>
                </c:pt>
                <c:pt idx="4">
                  <c:v>5.1428571428571432</c:v>
                </c:pt>
                <c:pt idx="5">
                  <c:v>5.1428571428571432</c:v>
                </c:pt>
                <c:pt idx="6">
                  <c:v>5.1428571428571432</c:v>
                </c:pt>
                <c:pt idx="7">
                  <c:v>5.1428571428571432</c:v>
                </c:pt>
              </c:numCache>
            </c:numRef>
          </c:yVal>
          <c:smooth val="0"/>
          <c:extLst>
            <c:ext xmlns:c16="http://schemas.microsoft.com/office/drawing/2014/chart" uri="{C3380CC4-5D6E-409C-BE32-E72D297353CC}">
              <c16:uniqueId val="{0000000D-89DC-4B30-9F06-F17F9827ADAB}"/>
            </c:ext>
          </c:extLst>
        </c:ser>
        <c:dLbls>
          <c:showLegendKey val="0"/>
          <c:showVal val="0"/>
          <c:showCatName val="0"/>
          <c:showSerName val="0"/>
          <c:showPercent val="0"/>
          <c:showBubbleSize val="0"/>
        </c:dLbls>
        <c:axId val="31340800"/>
        <c:axId val="31355264"/>
      </c:scatterChart>
      <c:scatterChart>
        <c:scatterStyle val="lineMarker"/>
        <c:varyColors val="0"/>
        <c:ser>
          <c:idx val="2"/>
          <c:order val="3"/>
          <c:tx>
            <c:v>Возраст</c:v>
          </c:tx>
          <c:spPr>
            <a:ln w="19050" cap="rnd">
              <a:solidFill>
                <a:schemeClr val="accent3"/>
              </a:solidFill>
              <a:round/>
            </a:ln>
            <a:effectLst/>
          </c:spPr>
          <c:marker>
            <c:symbol val="none"/>
          </c:marker>
          <c:dLbls>
            <c:dLbl>
              <c:idx val="0"/>
              <c:layout>
                <c:manualLayout>
                  <c:x val="-3.3009133393286899E-2"/>
                  <c:y val="-0.3745963401506999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15:layout/>
                </c:ext>
                <c:ext xmlns:c16="http://schemas.microsoft.com/office/drawing/2014/chart" uri="{C3380CC4-5D6E-409C-BE32-E72D297353CC}">
                  <c16:uniqueId val="{0000000E-89DC-4B30-9F06-F17F9827ADA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0F-89DC-4B30-9F06-F17F9827ADAB}"/>
            </c:ext>
          </c:extLst>
        </c:ser>
        <c:dLbls>
          <c:showLegendKey val="0"/>
          <c:showVal val="0"/>
          <c:showCatName val="0"/>
          <c:showSerName val="0"/>
          <c:showPercent val="0"/>
          <c:showBubbleSize val="0"/>
        </c:dLbls>
        <c:axId val="31358976"/>
        <c:axId val="31357184"/>
      </c:scatterChart>
      <c:valAx>
        <c:axId val="313408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1355264"/>
        <c:crosses val="autoZero"/>
        <c:crossBetween val="midCat"/>
      </c:valAx>
      <c:valAx>
        <c:axId val="31355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1340800"/>
        <c:crosses val="autoZero"/>
        <c:crossBetween val="midCat"/>
      </c:valAx>
      <c:valAx>
        <c:axId val="31357184"/>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1358976"/>
        <c:crosses val="max"/>
        <c:crossBetween val="midCat"/>
      </c:valAx>
      <c:valAx>
        <c:axId val="31358976"/>
        <c:scaling>
          <c:orientation val="minMax"/>
        </c:scaling>
        <c:delete val="1"/>
        <c:axPos val="b"/>
        <c:numFmt formatCode="General" sourceLinked="1"/>
        <c:majorTickMark val="out"/>
        <c:minorTickMark val="none"/>
        <c:tickLblPos val="nextTo"/>
        <c:crossAx val="31357184"/>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ru-RU"/>
              <a:t>График Партнерства</a:t>
            </a:r>
            <a:endParaRPr lang="en-US"/>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ru-RU"/>
        </a:p>
      </c:txPr>
    </c:title>
    <c:autoTitleDeleted val="0"/>
    <c:plotArea>
      <c:layout/>
      <c:barChart>
        <c:barDir val="col"/>
        <c:grouping val="clustered"/>
        <c:varyColors val="0"/>
        <c:ser>
          <c:idx val="0"/>
          <c:order val="0"/>
          <c:tx>
            <c:v>Уровень</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'Кристалл Судьбы'!$H$319:$N$319</c:f>
              <c:numCache>
                <c:formatCode>General</c:formatCode>
                <c:ptCount val="7"/>
                <c:pt idx="0">
                  <c:v>2022</c:v>
                </c:pt>
                <c:pt idx="1">
                  <c:v>2023</c:v>
                </c:pt>
                <c:pt idx="2">
                  <c:v>2024</c:v>
                </c:pt>
                <c:pt idx="3">
                  <c:v>2025</c:v>
                </c:pt>
                <c:pt idx="4">
                  <c:v>2026</c:v>
                </c:pt>
                <c:pt idx="5">
                  <c:v>2027</c:v>
                </c:pt>
                <c:pt idx="6">
                  <c:v>2028</c:v>
                </c:pt>
              </c:numCache>
            </c:numRef>
          </c:cat>
          <c:val>
            <c:numRef>
              <c:f>'Кристалл Судьбы'!$H$321:$N$321</c:f>
              <c:numCache>
                <c:formatCode>General</c:formatCode>
                <c:ptCount val="7"/>
                <c:pt idx="0">
                  <c:v>8</c:v>
                </c:pt>
                <c:pt idx="1">
                  <c:v>0</c:v>
                </c:pt>
                <c:pt idx="2">
                  <c:v>9</c:v>
                </c:pt>
                <c:pt idx="3">
                  <c:v>7</c:v>
                </c:pt>
                <c:pt idx="4">
                  <c:v>8</c:v>
                </c:pt>
                <c:pt idx="5">
                  <c:v>5</c:v>
                </c:pt>
                <c:pt idx="6">
                  <c:v>8</c:v>
                </c:pt>
              </c:numCache>
            </c:numRef>
          </c:val>
          <c:extLst>
            <c:ext xmlns:c16="http://schemas.microsoft.com/office/drawing/2014/chart" uri="{C3380CC4-5D6E-409C-BE32-E72D297353CC}">
              <c16:uniqueId val="{00000000-0158-40C6-8EE9-CCE914329985}"/>
            </c:ext>
          </c:extLst>
        </c:ser>
        <c:dLbls>
          <c:showLegendKey val="0"/>
          <c:showVal val="1"/>
          <c:showCatName val="0"/>
          <c:showSerName val="0"/>
          <c:showPercent val="0"/>
          <c:showBubbleSize val="0"/>
        </c:dLbls>
        <c:gapWidth val="269"/>
        <c:axId val="31396224"/>
        <c:axId val="31399296"/>
      </c:barChart>
      <c:lineChart>
        <c:grouping val="standard"/>
        <c:varyColors val="0"/>
        <c:ser>
          <c:idx val="1"/>
          <c:order val="1"/>
          <c:tx>
            <c:v>Норма</c:v>
          </c:tx>
          <c:spPr>
            <a:ln w="19050" cap="rnd">
              <a:solidFill>
                <a:srgbClr val="FF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0158-40C6-8EE9-CCE914329985}"/>
                </c:ext>
              </c:extLst>
            </c:dLbl>
            <c:dLbl>
              <c:idx val="1"/>
              <c:delete val="1"/>
              <c:extLst>
                <c:ext xmlns:c15="http://schemas.microsoft.com/office/drawing/2012/chart" uri="{CE6537A1-D6FC-4f65-9D91-7224C49458BB}"/>
                <c:ext xmlns:c16="http://schemas.microsoft.com/office/drawing/2014/chart" uri="{C3380CC4-5D6E-409C-BE32-E72D297353CC}">
                  <c16:uniqueId val="{00000002-0158-40C6-8EE9-CCE914329985}"/>
                </c:ext>
              </c:extLst>
            </c:dLbl>
            <c:dLbl>
              <c:idx val="2"/>
              <c:delete val="1"/>
              <c:extLst>
                <c:ext xmlns:c15="http://schemas.microsoft.com/office/drawing/2012/chart" uri="{CE6537A1-D6FC-4f65-9D91-7224C49458BB}"/>
                <c:ext xmlns:c16="http://schemas.microsoft.com/office/drawing/2014/chart" uri="{C3380CC4-5D6E-409C-BE32-E72D297353CC}">
                  <c16:uniqueId val="{00000003-0158-40C6-8EE9-CCE914329985}"/>
                </c:ext>
              </c:extLst>
            </c:dLbl>
            <c:dLbl>
              <c:idx val="3"/>
              <c:delete val="1"/>
              <c:extLst>
                <c:ext xmlns:c15="http://schemas.microsoft.com/office/drawing/2012/chart" uri="{CE6537A1-D6FC-4f65-9D91-7224C49458BB}"/>
                <c:ext xmlns:c16="http://schemas.microsoft.com/office/drawing/2014/chart" uri="{C3380CC4-5D6E-409C-BE32-E72D297353CC}">
                  <c16:uniqueId val="{00000004-0158-40C6-8EE9-CCE914329985}"/>
                </c:ext>
              </c:extLst>
            </c:dLbl>
            <c:dLbl>
              <c:idx val="4"/>
              <c:delete val="1"/>
              <c:extLst>
                <c:ext xmlns:c15="http://schemas.microsoft.com/office/drawing/2012/chart" uri="{CE6537A1-D6FC-4f65-9D91-7224C49458BB}"/>
                <c:ext xmlns:c16="http://schemas.microsoft.com/office/drawing/2014/chart" uri="{C3380CC4-5D6E-409C-BE32-E72D297353CC}">
                  <c16:uniqueId val="{00000005-0158-40C6-8EE9-CCE914329985}"/>
                </c:ext>
              </c:extLst>
            </c:dLbl>
            <c:dLbl>
              <c:idx val="5"/>
              <c:delete val="1"/>
              <c:extLst>
                <c:ext xmlns:c15="http://schemas.microsoft.com/office/drawing/2012/chart" uri="{CE6537A1-D6FC-4f65-9D91-7224C49458BB}"/>
                <c:ext xmlns:c16="http://schemas.microsoft.com/office/drawing/2014/chart" uri="{C3380CC4-5D6E-409C-BE32-E72D297353CC}">
                  <c16:uniqueId val="{00000006-0158-40C6-8EE9-CCE914329985}"/>
                </c:ext>
              </c:extLst>
            </c:dLbl>
            <c:dLbl>
              <c:idx val="6"/>
              <c:layout>
                <c:manualLayout>
                  <c:x val="3.5658914728682302E-2"/>
                  <c:y val="-1.53604443159705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158-40C6-8EE9-CCE914329985}"/>
                </c:ext>
              </c:extLst>
            </c:dLbl>
            <c:spPr>
              <a:solidFill>
                <a:sysClr val="windowText" lastClr="000000">
                  <a:lumMod val="15000"/>
                  <a:lumOff val="85000"/>
                </a:sys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borderCallout1">
                    <a:avLst/>
                  </a:prstGeom>
                  <a:noFill/>
                  <a:ln>
                    <a:noFill/>
                  </a:ln>
                </c15:spPr>
                <c15:showLeaderLines val="1"/>
                <c15:leaderLines>
                  <c:spPr>
                    <a:ln w="9525">
                      <a:solidFill>
                        <a:schemeClr val="tx1">
                          <a:lumMod val="35000"/>
                          <a:lumOff val="65000"/>
                        </a:schemeClr>
                      </a:solidFill>
                    </a:ln>
                    <a:effectLst/>
                  </c:spPr>
                </c15:leaderLines>
              </c:ext>
            </c:extLst>
          </c:dLbls>
          <c:val>
            <c:numRef>
              <c:f>'Кристалл Судьбы'!$H$318:$N$318</c:f>
              <c:numCache>
                <c:formatCode>General</c:formatCode>
                <c:ptCount val="7"/>
                <c:pt idx="0">
                  <c:v>5</c:v>
                </c:pt>
                <c:pt idx="1">
                  <c:v>5</c:v>
                </c:pt>
                <c:pt idx="2">
                  <c:v>5</c:v>
                </c:pt>
                <c:pt idx="3">
                  <c:v>5</c:v>
                </c:pt>
                <c:pt idx="4">
                  <c:v>5</c:v>
                </c:pt>
                <c:pt idx="5">
                  <c:v>5</c:v>
                </c:pt>
                <c:pt idx="6">
                  <c:v>5</c:v>
                </c:pt>
              </c:numCache>
            </c:numRef>
          </c:val>
          <c:smooth val="0"/>
          <c:extLst>
            <c:ext xmlns:c16="http://schemas.microsoft.com/office/drawing/2014/chart" uri="{C3380CC4-5D6E-409C-BE32-E72D297353CC}">
              <c16:uniqueId val="{00000008-0158-40C6-8EE9-CCE914329985}"/>
            </c:ext>
          </c:extLst>
        </c:ser>
        <c:dLbls>
          <c:showLegendKey val="0"/>
          <c:showVal val="1"/>
          <c:showCatName val="0"/>
          <c:showSerName val="0"/>
          <c:showPercent val="0"/>
          <c:showBubbleSize val="0"/>
        </c:dLbls>
        <c:marker val="1"/>
        <c:smooth val="0"/>
        <c:axId val="31396224"/>
        <c:axId val="31399296"/>
      </c:lineChart>
      <c:catAx>
        <c:axId val="31396224"/>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ru-RU"/>
                  <a:t>года</a:t>
                </a:r>
                <a:endParaRPr lang="en-US"/>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ru-RU"/>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ru-RU"/>
          </a:p>
        </c:txPr>
        <c:crossAx val="31399296"/>
        <c:crosses val="autoZero"/>
        <c:auto val="1"/>
        <c:lblAlgn val="ctr"/>
        <c:lblOffset val="100"/>
        <c:noMultiLvlLbl val="0"/>
      </c:catAx>
      <c:valAx>
        <c:axId val="3139929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ru-RU"/>
                  <a:t>Уровень</a:t>
                </a:r>
                <a:endParaRPr lang="en-US"/>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139622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ru-RU"/>
              <a:t>График Энергии</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ru-RU"/>
        </a:p>
      </c:txPr>
    </c:title>
    <c:autoTitleDeleted val="0"/>
    <c:plotArea>
      <c:layout/>
      <c:lineChart>
        <c:grouping val="standard"/>
        <c:varyColors val="0"/>
        <c:ser>
          <c:idx val="0"/>
          <c:order val="0"/>
          <c:tx>
            <c:strRef>
              <c:f>'Кристалл Судьбы'!$U$104:$V$104</c:f>
              <c:strCache>
                <c:ptCount val="2"/>
                <c:pt idx="0">
                  <c:v>Энергия Архангела</c:v>
                </c:pt>
              </c:strCache>
            </c:strRef>
          </c:tx>
          <c:spPr>
            <a:ln w="34925" cap="rnd">
              <a:solidFill>
                <a:schemeClr val="accent1"/>
              </a:solidFill>
              <a:round/>
            </a:ln>
            <a:effectLst>
              <a:outerShdw blurRad="57150" dist="19050" dir="5400000" algn="ctr" rotWithShape="0">
                <a:srgbClr val="000000">
                  <a:alpha val="63000"/>
                </a:srgbClr>
              </a:outerShdw>
            </a:effectLst>
          </c:spPr>
          <c:marker>
            <c:symbol val="triangle"/>
            <c:size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tx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'Кристалл Судьбы'!$W$105:$AC$105</c:f>
              <c:numCache>
                <c:formatCode>General</c:formatCode>
                <c:ptCount val="7"/>
                <c:pt idx="0">
                  <c:v>12</c:v>
                </c:pt>
                <c:pt idx="1">
                  <c:v>24</c:v>
                </c:pt>
                <c:pt idx="2">
                  <c:v>36</c:v>
                </c:pt>
                <c:pt idx="3">
                  <c:v>48</c:v>
                </c:pt>
                <c:pt idx="4">
                  <c:v>60</c:v>
                </c:pt>
                <c:pt idx="5">
                  <c:v>72</c:v>
                </c:pt>
                <c:pt idx="6">
                  <c:v>84</c:v>
                </c:pt>
              </c:numCache>
            </c:numRef>
          </c:cat>
          <c:val>
            <c:numRef>
              <c:f>'Кристалл Судьбы'!$W$104:$AC$104</c:f>
              <c:numCache>
                <c:formatCode>General</c:formatCode>
                <c:ptCount val="7"/>
                <c:pt idx="0">
                  <c:v>5</c:v>
                </c:pt>
                <c:pt idx="1">
                  <c:v>1</c:v>
                </c:pt>
                <c:pt idx="2">
                  <c:v>8</c:v>
                </c:pt>
                <c:pt idx="3">
                  <c:v>5</c:v>
                </c:pt>
                <c:pt idx="4">
                  <c:v>3</c:v>
                </c:pt>
                <c:pt idx="5">
                  <c:v>2</c:v>
                </c:pt>
                <c:pt idx="6">
                  <c:v>3</c:v>
                </c:pt>
              </c:numCache>
            </c:numRef>
          </c:val>
          <c:smooth val="0"/>
          <c:extLst>
            <c:ext xmlns:c16="http://schemas.microsoft.com/office/drawing/2014/chart" uri="{C3380CC4-5D6E-409C-BE32-E72D297353CC}">
              <c16:uniqueId val="{00000000-018A-42FD-88AC-C95242758EC6}"/>
            </c:ext>
          </c:extLst>
        </c:ser>
        <c:ser>
          <c:idx val="1"/>
          <c:order val="1"/>
          <c:tx>
            <c:strRef>
              <c:f>'Кристалл Судьбы'!$U$108:$V$108</c:f>
              <c:strCache>
                <c:ptCount val="2"/>
                <c:pt idx="0">
                  <c:v>Энергия Рода</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'Кристалл Судьбы'!$W$105:$AC$105</c:f>
              <c:numCache>
                <c:formatCode>General</c:formatCode>
                <c:ptCount val="7"/>
                <c:pt idx="0">
                  <c:v>12</c:v>
                </c:pt>
                <c:pt idx="1">
                  <c:v>24</c:v>
                </c:pt>
                <c:pt idx="2">
                  <c:v>36</c:v>
                </c:pt>
                <c:pt idx="3">
                  <c:v>48</c:v>
                </c:pt>
                <c:pt idx="4">
                  <c:v>60</c:v>
                </c:pt>
                <c:pt idx="5">
                  <c:v>72</c:v>
                </c:pt>
                <c:pt idx="6">
                  <c:v>84</c:v>
                </c:pt>
              </c:numCache>
            </c:numRef>
          </c:cat>
          <c:val>
            <c:numRef>
              <c:f>'Кристалл Судьбы'!$W$108:$AC$108</c:f>
              <c:numCache>
                <c:formatCode>General</c:formatCode>
                <c:ptCount val="7"/>
                <c:pt idx="0">
                  <c:v>3</c:v>
                </c:pt>
                <c:pt idx="1">
                  <c:v>6</c:v>
                </c:pt>
                <c:pt idx="2">
                  <c:v>1</c:v>
                </c:pt>
                <c:pt idx="3">
                  <c:v>9</c:v>
                </c:pt>
                <c:pt idx="4">
                  <c:v>9</c:v>
                </c:pt>
                <c:pt idx="5">
                  <c:v>8</c:v>
                </c:pt>
                <c:pt idx="6">
                  <c:v>0</c:v>
                </c:pt>
              </c:numCache>
            </c:numRef>
          </c:val>
          <c:smooth val="0"/>
          <c:extLst>
            <c:ext xmlns:c16="http://schemas.microsoft.com/office/drawing/2014/chart" uri="{C3380CC4-5D6E-409C-BE32-E72D297353CC}">
              <c16:uniqueId val="{00000001-018A-42FD-88AC-C95242758EC6}"/>
            </c:ext>
          </c:extLst>
        </c:ser>
        <c:ser>
          <c:idx val="2"/>
          <c:order val="2"/>
          <c:tx>
            <c:strRef>
              <c:f>'Кристалл Судьбы'!$U$106:$V$106</c:f>
              <c:strCache>
                <c:ptCount val="2"/>
                <c:pt idx="0">
                  <c:v>Норма</c:v>
                </c:pt>
              </c:strCache>
            </c:strRef>
          </c:tx>
          <c:spPr>
            <a:ln w="19050" cap="rnd">
              <a:solidFill>
                <a:srgbClr val="FF0000"/>
              </a:solidFill>
              <a:prstDash val="dash"/>
              <a:round/>
            </a:ln>
            <a:effectLst>
              <a:outerShdw blurRad="57150" dist="19050" dir="5400000" algn="ctr" rotWithShape="0">
                <a:srgbClr val="000000">
                  <a:alpha val="63000"/>
                </a:srgbClr>
              </a:outerShdw>
            </a:effectLst>
          </c:spPr>
          <c:marker>
            <c:symbol val="none"/>
          </c:marker>
          <c:dLbls>
            <c:delete val="1"/>
          </c:dLbls>
          <c:val>
            <c:numRef>
              <c:f>'Кристалл Судьбы'!$W$106:$AC$106</c:f>
              <c:numCache>
                <c:formatCode>General</c:formatCode>
                <c:ptCount val="7"/>
                <c:pt idx="0">
                  <c:v>5</c:v>
                </c:pt>
                <c:pt idx="1">
                  <c:v>5</c:v>
                </c:pt>
                <c:pt idx="2">
                  <c:v>5</c:v>
                </c:pt>
                <c:pt idx="3">
                  <c:v>5</c:v>
                </c:pt>
                <c:pt idx="4">
                  <c:v>5</c:v>
                </c:pt>
                <c:pt idx="5">
                  <c:v>5</c:v>
                </c:pt>
                <c:pt idx="6">
                  <c:v>5</c:v>
                </c:pt>
              </c:numCache>
            </c:numRef>
          </c:val>
          <c:smooth val="0"/>
          <c:extLst>
            <c:ext xmlns:c16="http://schemas.microsoft.com/office/drawing/2014/chart" uri="{C3380CC4-5D6E-409C-BE32-E72D297353CC}">
              <c16:uniqueId val="{00000006-D5FC-4F5B-9AD0-F56CC8514A07}"/>
            </c:ext>
          </c:extLst>
        </c:ser>
        <c:dLbls>
          <c:showLegendKey val="0"/>
          <c:showVal val="1"/>
          <c:showCatName val="0"/>
          <c:showSerName val="0"/>
          <c:showPercent val="0"/>
          <c:showBubbleSize val="0"/>
        </c:dLbls>
        <c:marker val="1"/>
        <c:smooth val="0"/>
        <c:axId val="31452544"/>
        <c:axId val="31790592"/>
      </c:lineChart>
      <c:catAx>
        <c:axId val="31452544"/>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ru-RU"/>
                  <a:t>Годы</a:t>
                </a:r>
                <a:endParaRPr lang="en-US"/>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1790592"/>
        <c:crosses val="autoZero"/>
        <c:auto val="1"/>
        <c:lblAlgn val="ctr"/>
        <c:lblOffset val="100"/>
        <c:noMultiLvlLbl val="0"/>
      </c:catAx>
      <c:valAx>
        <c:axId val="31790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ru-RU"/>
                  <a:t>Уровень энергии</a:t>
                </a:r>
                <a:endParaRPr lang="en-US"/>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1452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cap="none" spc="0" normalizeH="0" baseline="0">
                <a:solidFill>
                  <a:schemeClr val="tx1"/>
                </a:solidFill>
                <a:latin typeface="+mj-lt"/>
                <a:ea typeface="+mj-ea"/>
                <a:cs typeface="+mj-cs"/>
              </a:defRPr>
            </a:pPr>
            <a:r>
              <a:rPr lang="ru-RU" b="1">
                <a:solidFill>
                  <a:schemeClr val="tx1"/>
                </a:solidFill>
              </a:rPr>
              <a:t>Расписание Ангелов</a:t>
            </a:r>
            <a:endParaRPr lang="en-US" b="1">
              <a:solidFill>
                <a:schemeClr val="tx1"/>
              </a:solidFill>
            </a:endParaRPr>
          </a:p>
        </c:rich>
      </c:tx>
      <c:layout/>
      <c:overlay val="0"/>
      <c:spPr>
        <a:noFill/>
        <a:ln>
          <a:noFill/>
        </a:ln>
        <a:effectLst/>
      </c:spPr>
      <c:txPr>
        <a:bodyPr rot="0" spcFirstLastPara="1" vertOverflow="ellipsis" vert="horz" wrap="square" anchor="ctr" anchorCtr="1"/>
        <a:lstStyle/>
        <a:p>
          <a:pPr>
            <a:defRPr sz="2000" b="1" i="0" u="none" strike="noStrike" kern="1200" cap="none" spc="0" normalizeH="0" baseline="0">
              <a:solidFill>
                <a:schemeClr val="tx1"/>
              </a:solidFill>
              <a:latin typeface="+mj-lt"/>
              <a:ea typeface="+mj-ea"/>
              <a:cs typeface="+mj-cs"/>
            </a:defRPr>
          </a:pPr>
          <a:endParaRPr lang="ru-RU"/>
        </a:p>
      </c:txPr>
    </c:title>
    <c:autoTitleDeleted val="0"/>
    <c:plotArea>
      <c:layout/>
      <c:lineChart>
        <c:grouping val="standard"/>
        <c:varyColors val="0"/>
        <c:ser>
          <c:idx val="0"/>
          <c:order val="0"/>
          <c:spPr>
            <a:ln w="38100" cap="rnd" cmpd="dbl">
              <a:solidFill>
                <a:schemeClr val="accent1"/>
              </a:solidFill>
              <a:round/>
              <a:tailEnd type="none"/>
            </a:ln>
            <a:effectLst/>
          </c:spPr>
          <c:marker>
            <c:symbol val="none"/>
          </c:marker>
          <c:dPt>
            <c:idx val="2"/>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1-BA93-4284-B5F6-11A9827B9F35}"/>
              </c:ext>
            </c:extLst>
          </c:dPt>
          <c:dPt>
            <c:idx val="4"/>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3-BA93-4284-B5F6-11A9827B9F35}"/>
              </c:ext>
            </c:extLst>
          </c:dPt>
          <c:dPt>
            <c:idx val="7"/>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5-BA93-4284-B5F6-11A9827B9F35}"/>
              </c:ext>
            </c:extLst>
          </c:dPt>
          <c:dPt>
            <c:idx val="9"/>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7-BA93-4284-B5F6-11A9827B9F35}"/>
              </c:ext>
            </c:extLst>
          </c:dPt>
          <c:dPt>
            <c:idx val="12"/>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9-36D4-4BE0-84D4-FB56DF03E8C3}"/>
              </c:ext>
            </c:extLst>
          </c:dPt>
          <c:dPt>
            <c:idx val="14"/>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B-BA93-4284-B5F6-11A9827B9F35}"/>
              </c:ext>
            </c:extLst>
          </c:dPt>
          <c:dPt>
            <c:idx val="17"/>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D-BA93-4284-B5F6-11A9827B9F35}"/>
              </c:ext>
            </c:extLst>
          </c:dPt>
          <c:dPt>
            <c:idx val="19"/>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0F-BA93-4284-B5F6-11A9827B9F35}"/>
              </c:ext>
            </c:extLst>
          </c:dPt>
          <c:dPt>
            <c:idx val="22"/>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11-BA93-4284-B5F6-11A9827B9F35}"/>
              </c:ext>
            </c:extLst>
          </c:dPt>
          <c:dPt>
            <c:idx val="24"/>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13-BA93-4284-B5F6-11A9827B9F35}"/>
              </c:ext>
            </c:extLst>
          </c:dPt>
          <c:dPt>
            <c:idx val="27"/>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15-BA93-4284-B5F6-11A9827B9F35}"/>
              </c:ext>
            </c:extLst>
          </c:dPt>
          <c:dPt>
            <c:idx val="29"/>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17-BA93-4284-B5F6-11A9827B9F35}"/>
              </c:ext>
            </c:extLst>
          </c:dPt>
          <c:dPt>
            <c:idx val="32"/>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19-BA93-4284-B5F6-11A9827B9F35}"/>
              </c:ext>
            </c:extLst>
          </c:dPt>
          <c:dPt>
            <c:idx val="34"/>
            <c:marker>
              <c:symbol val="none"/>
            </c:marker>
            <c:bubble3D val="0"/>
            <c:spPr>
              <a:ln w="38100" cap="rnd" cmpd="dbl">
                <a:solidFill>
                  <a:schemeClr val="accent1"/>
                </a:solidFill>
                <a:round/>
                <a:tailEnd type="triangle"/>
              </a:ln>
              <a:effectLst/>
            </c:spPr>
            <c:extLst>
              <c:ext xmlns:c16="http://schemas.microsoft.com/office/drawing/2014/chart" uri="{C3380CC4-5D6E-409C-BE32-E72D297353CC}">
                <c16:uniqueId val="{0000001B-BA93-4284-B5F6-11A9827B9F35}"/>
              </c:ext>
            </c:extLst>
          </c:dPt>
          <c:dLbls>
            <c:dLbl>
              <c:idx val="0"/>
              <c:layout>
                <c:manualLayout>
                  <c:x val="2.8903541125847899E-3"/>
                  <c:y val="-3.5986276597521301E-2"/>
                </c:manualLayout>
              </c:layout>
              <c:tx>
                <c:rich>
                  <a:bodyPr/>
                  <a:lstStyle/>
                  <a:p>
                    <a:fld id="{F922619F-7179-4FFE-B684-A089B2D713B1}" type="CELLRANGE">
                      <a:rPr lang="ru-RU"/>
                      <a:pPr/>
                      <a:t>[ДИАПАЗОН ЯЧЕЕК]</a:t>
                    </a:fld>
                    <a:endParaRPr lang="ru-RU" baseline="0"/>
                  </a:p>
                  <a:p>
                    <a:fld id="{FC2DC729-CCBE-479C-9456-CC6F8D9A9674}"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1C-BA93-4284-B5F6-11A9827B9F35}"/>
                </c:ext>
              </c:extLst>
            </c:dLbl>
            <c:dLbl>
              <c:idx val="1"/>
              <c:layout/>
              <c:tx>
                <c:rich>
                  <a:bodyPr/>
                  <a:lstStyle/>
                  <a:p>
                    <a:fld id="{10FE77C1-257A-4F08-B975-BE9243BF0E4B}" type="CELLRANGE">
                      <a:rPr lang="ru-RU"/>
                      <a:pPr/>
                      <a:t>[ДИАПАЗОН ЯЧЕЕК]</a:t>
                    </a:fld>
                    <a:r>
                      <a:rPr lang="ru-RU" baseline="0"/>
                      <a:t>
</a:t>
                    </a:r>
                    <a:fld id="{2460295B-1D06-48AD-8306-37091DD0A722}"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1C-36D4-4BE0-84D4-FB56DF03E8C3}"/>
                </c:ext>
              </c:extLst>
            </c:dLbl>
            <c:dLbl>
              <c:idx val="2"/>
              <c:layout/>
              <c:tx>
                <c:rich>
                  <a:bodyPr/>
                  <a:lstStyle/>
                  <a:p>
                    <a:fld id="{DD001E5C-9FC6-4101-B91E-0364027000FB}" type="CELLRANGE">
                      <a:rPr lang="ru-RU"/>
                      <a:pPr/>
                      <a:t>[ДИАПАЗОН ЯЧЕЕК]</a:t>
                    </a:fld>
                    <a:endParaRPr lang="ru-RU" baseline="0"/>
                  </a:p>
                  <a:p>
                    <a:fld id="{79D9731F-6085-4948-9C51-BA61E708C623}" type="CATEGORYNAME">
                      <a:rPr lang="ru-RU"/>
                      <a:pPr/>
                      <a:t>[ИМЯ КАТЕГОРИИ]</a:t>
                    </a:fld>
                    <a:endParaRPr lang="ru-RU"/>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1-BA93-4284-B5F6-11A9827B9F35}"/>
                </c:ext>
              </c:extLst>
            </c:dLbl>
            <c:dLbl>
              <c:idx val="3"/>
              <c:layout/>
              <c:tx>
                <c:rich>
                  <a:bodyPr/>
                  <a:lstStyle/>
                  <a:p>
                    <a:fld id="{030D9C36-53C4-4AB0-96A1-C5A2196367CC}" type="CELLRANGE">
                      <a:rPr lang="ru-RU"/>
                      <a:pPr/>
                      <a:t>[ДИАПАЗОН ЯЧЕЕК]</a:t>
                    </a:fld>
                    <a:r>
                      <a:rPr lang="ru-RU" baseline="0"/>
                      <a:t>
</a:t>
                    </a:r>
                    <a:fld id="{97F42A43-CF3D-47C2-8D22-223354E69517}"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1D-36D4-4BE0-84D4-FB56DF03E8C3}"/>
                </c:ext>
              </c:extLst>
            </c:dLbl>
            <c:dLbl>
              <c:idx val="4"/>
              <c:layout>
                <c:manualLayout>
                  <c:x val="-6.8538483457233401E-2"/>
                  <c:y val="-3.5986276597521301E-2"/>
                </c:manualLayout>
              </c:layout>
              <c:tx>
                <c:rich>
                  <a:bodyPr/>
                  <a:lstStyle/>
                  <a:p>
                    <a:fld id="{A23A04DD-89D6-4BC5-A38E-D70BA8AF3AF5}" type="CELLRANGE">
                      <a:rPr lang="ru-RU"/>
                      <a:pPr/>
                      <a:t>[ДИАПАЗОН ЯЧЕЕК]</a:t>
                    </a:fld>
                    <a:endParaRPr lang="ru-RU" baseline="0"/>
                  </a:p>
                  <a:p>
                    <a:fld id="{5DD28996-9115-4243-BED0-484F14A91FBB}"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3-BA93-4284-B5F6-11A9827B9F35}"/>
                </c:ext>
              </c:extLst>
            </c:dLbl>
            <c:dLbl>
              <c:idx val="5"/>
              <c:layout>
                <c:manualLayout>
                  <c:x val="4.6383842232527598E-3"/>
                  <c:y val="-3.7987185987206303E-2"/>
                </c:manualLayout>
              </c:layout>
              <c:tx>
                <c:rich>
                  <a:bodyPr/>
                  <a:lstStyle/>
                  <a:p>
                    <a:fld id="{9CC3D092-7799-4B50-98CA-B93840E6002D}" type="CELLRANGE">
                      <a:rPr lang="ru-RU"/>
                      <a:pPr/>
                      <a:t>[ДИАПАЗОН ЯЧЕЕК]</a:t>
                    </a:fld>
                    <a:endParaRPr lang="ru-RU" baseline="0"/>
                  </a:p>
                  <a:p>
                    <a:fld id="{26426A0E-5C59-4DEF-93DD-9643A74EC866}"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1D-BA93-4284-B5F6-11A9827B9F35}"/>
                </c:ext>
              </c:extLst>
            </c:dLbl>
            <c:dLbl>
              <c:idx val="6"/>
              <c:layout/>
              <c:tx>
                <c:rich>
                  <a:bodyPr/>
                  <a:lstStyle/>
                  <a:p>
                    <a:fld id="{485EC4E5-7F70-4D6E-88D9-F533098D7445}" type="CELLRANGE">
                      <a:rPr lang="ru-RU"/>
                      <a:pPr/>
                      <a:t>[ДИАПАЗОН ЯЧЕЕК]</a:t>
                    </a:fld>
                    <a:r>
                      <a:rPr lang="ru-RU" baseline="0"/>
                      <a:t>
</a:t>
                    </a:r>
                    <a:fld id="{ECD31EDD-B94B-42BC-8615-D0E72FDBCE6C}"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1E-36D4-4BE0-84D4-FB56DF03E8C3}"/>
                </c:ext>
              </c:extLst>
            </c:dLbl>
            <c:dLbl>
              <c:idx val="7"/>
              <c:layout/>
              <c:tx>
                <c:rich>
                  <a:bodyPr/>
                  <a:lstStyle/>
                  <a:p>
                    <a:fld id="{46149566-FE98-4FED-8338-A9A74372B539}" type="CELLRANGE">
                      <a:rPr lang="ru-RU"/>
                      <a:pPr/>
                      <a:t>[ДИАПАЗОН ЯЧЕЕК]</a:t>
                    </a:fld>
                    <a:endParaRPr lang="ru-RU" baseline="0"/>
                  </a:p>
                  <a:p>
                    <a:fld id="{D20655BC-C4BE-421C-9DD7-AD5F2D569DAF}" type="CATEGORYNAME">
                      <a:rPr lang="ru-RU"/>
                      <a:pPr/>
                      <a:t>[ИМЯ КАТЕГОРИИ]</a:t>
                    </a:fld>
                    <a:endParaRPr lang="ru-RU"/>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5-BA93-4284-B5F6-11A9827B9F35}"/>
                </c:ext>
              </c:extLst>
            </c:dLbl>
            <c:dLbl>
              <c:idx val="8"/>
              <c:layout/>
              <c:tx>
                <c:rich>
                  <a:bodyPr/>
                  <a:lstStyle/>
                  <a:p>
                    <a:fld id="{1DAC91F3-05C0-4377-84EC-CA1B08D15FC0}" type="CELLRANGE">
                      <a:rPr lang="ru-RU"/>
                      <a:pPr/>
                      <a:t>[ДИАПАЗОН ЯЧЕЕК]</a:t>
                    </a:fld>
                    <a:r>
                      <a:rPr lang="ru-RU" baseline="0"/>
                      <a:t>
</a:t>
                    </a:r>
                    <a:fld id="{DA4ECF3F-7AD3-42A2-A608-9849EE00A423}"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1F-36D4-4BE0-84D4-FB56DF03E8C3}"/>
                </c:ext>
              </c:extLst>
            </c:dLbl>
            <c:dLbl>
              <c:idx val="9"/>
              <c:layout>
                <c:manualLayout>
                  <c:x val="-6.0048539771938803E-2"/>
                  <c:y val="-3.7987185987206303E-2"/>
                </c:manualLayout>
              </c:layout>
              <c:tx>
                <c:rich>
                  <a:bodyPr/>
                  <a:lstStyle/>
                  <a:p>
                    <a:fld id="{F38CF6FF-5D32-4447-AC9E-90AC02502D0B}" type="CELLRANGE">
                      <a:rPr lang="ru-RU"/>
                      <a:pPr/>
                      <a:t>[ДИАПАЗОН ЯЧЕЕК]</a:t>
                    </a:fld>
                    <a:endParaRPr lang="ru-RU" baseline="0"/>
                  </a:p>
                  <a:p>
                    <a:fld id="{B1B8765E-A806-412A-B56B-0E76FE29F803}"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7-BA93-4284-B5F6-11A9827B9F35}"/>
                </c:ext>
              </c:extLst>
            </c:dLbl>
            <c:dLbl>
              <c:idx val="10"/>
              <c:layout>
                <c:manualLayout>
                  <c:x val="-1.0838918526843799E-3"/>
                  <c:y val="5.0667037920760299E-2"/>
                </c:manualLayout>
              </c:layout>
              <c:tx>
                <c:rich>
                  <a:bodyPr/>
                  <a:lstStyle/>
                  <a:p>
                    <a:fld id="{1966BE07-CBB5-44A8-8E30-1FAC66AF7420}" type="CELLRANGE">
                      <a:rPr lang="ru-RU"/>
                      <a:pPr/>
                      <a:t>[ДИАПАЗОН ЯЧЕЕК]</a:t>
                    </a:fld>
                    <a:endParaRPr lang="ru-RU" baseline="0"/>
                  </a:p>
                  <a:p>
                    <a:fld id="{905A51B6-1842-4976-B28F-7D5A7FC9627C}"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1E-BA93-4284-B5F6-11A9827B9F35}"/>
                </c:ext>
              </c:extLst>
            </c:dLbl>
            <c:dLbl>
              <c:idx val="11"/>
              <c:layout>
                <c:manualLayout>
                  <c:x val="-2.6519954009674399E-2"/>
                  <c:y val="2.3995683154955198E-2"/>
                </c:manualLayout>
              </c:layout>
              <c:tx>
                <c:rich>
                  <a:bodyPr/>
                  <a:lstStyle/>
                  <a:p>
                    <a:fld id="{D6685E1F-E403-4330-AB1A-872081B7D441}" type="CELLRANGE">
                      <a:rPr lang="en-US" baseline="0"/>
                      <a:pPr/>
                      <a:t>[ДИАПАЗОН ЯЧЕЕК]</a:t>
                    </a:fld>
                    <a:r>
                      <a:rPr lang="en-US" baseline="0"/>
                      <a:t>
</a:t>
                    </a:r>
                    <a:fld id="{945A3AD7-36C3-4C36-8879-6D7A02A07056}" type="CATEGORYNAME">
                      <a:rPr lang="en-US" baseline="0"/>
                      <a:pPr/>
                      <a:t>[ИМЯ КАТЕГОРИИ]</a:t>
                    </a:fld>
                    <a:endParaRPr lang="en-US" baseline="0"/>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20-36D4-4BE0-84D4-FB56DF03E8C3}"/>
                </c:ext>
              </c:extLst>
            </c:dLbl>
            <c:dLbl>
              <c:idx val="12"/>
              <c:layout>
                <c:manualLayout>
                  <c:x val="-2.7460573189222098E-2"/>
                  <c:y val="2.5839372019248599E-2"/>
                </c:manualLayout>
              </c:layout>
              <c:tx>
                <c:rich>
                  <a:bodyPr/>
                  <a:lstStyle/>
                  <a:p>
                    <a:fld id="{746F8E06-2263-4724-B141-D566FDF6833C}" type="CELLRANGE">
                      <a:rPr lang="ru-RU"/>
                      <a:pPr/>
                      <a:t>[ДИАПАЗОН ЯЧЕЕК]</a:t>
                    </a:fld>
                    <a:endParaRPr lang="ru-RU" baseline="0"/>
                  </a:p>
                  <a:p>
                    <a:fld id="{922CD3B9-8F9F-40AB-9F08-D46CB5ECEAB6}"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9-36D4-4BE0-84D4-FB56DF03E8C3}"/>
                </c:ext>
              </c:extLst>
            </c:dLbl>
            <c:dLbl>
              <c:idx val="13"/>
              <c:layout>
                <c:manualLayout>
                  <c:x val="-2.7377025582371699E-2"/>
                  <c:y val="2.5839372019248699E-2"/>
                </c:manualLayout>
              </c:layout>
              <c:tx>
                <c:rich>
                  <a:bodyPr/>
                  <a:lstStyle/>
                  <a:p>
                    <a:fld id="{F02A099A-61A0-4C2B-B112-2ABDE19893BA}" type="CELLRANGE">
                      <a:rPr lang="en-US" baseline="0"/>
                      <a:pPr/>
                      <a:t>[ДИАПАЗОН ЯЧЕЕК]</a:t>
                    </a:fld>
                    <a:r>
                      <a:rPr lang="en-US" baseline="0"/>
                      <a:t>
</a:t>
                    </a:r>
                    <a:fld id="{D7DDD60F-58C3-4B5D-A27E-CB9BF4CD6B9A}" type="CATEGORYNAME">
                      <a:rPr lang="en-US" baseline="0"/>
                      <a:pPr/>
                      <a:t>[ИМЯ КАТЕГОРИИ]</a:t>
                    </a:fld>
                    <a:endParaRPr lang="en-US" baseline="0"/>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21-36D4-4BE0-84D4-FB56DF03E8C3}"/>
                </c:ext>
              </c:extLst>
            </c:dLbl>
            <c:dLbl>
              <c:idx val="14"/>
              <c:layout>
                <c:manualLayout>
                  <c:x val="-3.6560986142502402E-2"/>
                  <c:y val="5.4197193992652E-2"/>
                </c:manualLayout>
              </c:layout>
              <c:tx>
                <c:rich>
                  <a:bodyPr/>
                  <a:lstStyle/>
                  <a:p>
                    <a:fld id="{940816B8-F235-41F7-B786-12D5FBB5F396}" type="CELLRANGE">
                      <a:rPr lang="ru-RU"/>
                      <a:pPr/>
                      <a:t>[ДИАПАЗОН ЯЧЕЕК]</a:t>
                    </a:fld>
                    <a:endParaRPr lang="ru-RU" baseline="0"/>
                  </a:p>
                  <a:p>
                    <a:fld id="{3A26020A-3FB1-4A11-BCF4-BDE07450859F}"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B-BA93-4284-B5F6-11A9827B9F35}"/>
                </c:ext>
              </c:extLst>
            </c:dLbl>
            <c:dLbl>
              <c:idx val="15"/>
              <c:layout>
                <c:manualLayout>
                  <c:x val="4.2070489793934801E-3"/>
                  <c:y val="-3.5986276597521301E-2"/>
                </c:manualLayout>
              </c:layout>
              <c:tx>
                <c:rich>
                  <a:bodyPr/>
                  <a:lstStyle/>
                  <a:p>
                    <a:fld id="{AF2611CB-1841-4900-BF33-D7C0F08F5254}" type="CELLRANGE">
                      <a:rPr lang="ru-RU"/>
                      <a:pPr/>
                      <a:t>[ДИАПАЗОН ЯЧЕЕК]</a:t>
                    </a:fld>
                    <a:endParaRPr lang="ru-RU" baseline="0"/>
                  </a:p>
                  <a:p>
                    <a:fld id="{3EB3A1CE-35DF-48FB-AB9B-B2FEEE32FF7C}"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1F-BA93-4284-B5F6-11A9827B9F35}"/>
                </c:ext>
              </c:extLst>
            </c:dLbl>
            <c:dLbl>
              <c:idx val="16"/>
              <c:layout/>
              <c:tx>
                <c:rich>
                  <a:bodyPr/>
                  <a:lstStyle/>
                  <a:p>
                    <a:fld id="{5129373B-5E76-43F0-A18F-40140218D98F}" type="CELLRANGE">
                      <a:rPr lang="ru-RU"/>
                      <a:pPr/>
                      <a:t>[ДИАПАЗОН ЯЧЕЕК]</a:t>
                    </a:fld>
                    <a:r>
                      <a:rPr lang="ru-RU" baseline="0"/>
                      <a:t>
</a:t>
                    </a:r>
                    <a:fld id="{04376235-475A-428D-9110-E8088B947822}"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22-36D4-4BE0-84D4-FB56DF03E8C3}"/>
                </c:ext>
              </c:extLst>
            </c:dLbl>
            <c:dLbl>
              <c:idx val="17"/>
              <c:layout/>
              <c:tx>
                <c:rich>
                  <a:bodyPr/>
                  <a:lstStyle/>
                  <a:p>
                    <a:fld id="{84B0F0ED-190D-4598-A3E3-3462EF98E7D4}" type="CELLRANGE">
                      <a:rPr lang="ru-RU"/>
                      <a:pPr/>
                      <a:t>[ДИАПАЗОН ЯЧЕЕК]</a:t>
                    </a:fld>
                    <a:endParaRPr lang="ru-RU" baseline="0"/>
                  </a:p>
                  <a:p>
                    <a:fld id="{1FED97DE-D723-42CD-B5D0-67AC66961A99}" type="CATEGORYNAME">
                      <a:rPr lang="ru-RU"/>
                      <a:pPr/>
                      <a:t>[ИМЯ КАТЕГОРИИ]</a:t>
                    </a:fld>
                    <a:endParaRPr lang="ru-RU"/>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D-BA93-4284-B5F6-11A9827B9F35}"/>
                </c:ext>
              </c:extLst>
            </c:dLbl>
            <c:dLbl>
              <c:idx val="18"/>
              <c:layout/>
              <c:tx>
                <c:rich>
                  <a:bodyPr/>
                  <a:lstStyle/>
                  <a:p>
                    <a:fld id="{F176BBA6-E4CF-4A8C-8C2E-B238E992EC2D}" type="CELLRANGE">
                      <a:rPr lang="ru-RU"/>
                      <a:pPr/>
                      <a:t>[ДИАПАЗОН ЯЧЕЕК]</a:t>
                    </a:fld>
                    <a:r>
                      <a:rPr lang="ru-RU" baseline="0"/>
                      <a:t>
</a:t>
                    </a:r>
                    <a:fld id="{CF635AAD-87B9-4926-8D78-7DCC9DEECC3F}"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23-36D4-4BE0-84D4-FB56DF03E8C3}"/>
                </c:ext>
              </c:extLst>
            </c:dLbl>
            <c:dLbl>
              <c:idx val="19"/>
              <c:layout>
                <c:manualLayout>
                  <c:x val="-6.9583751038493E-2"/>
                  <c:y val="-4.1989004766575799E-2"/>
                </c:manualLayout>
              </c:layout>
              <c:tx>
                <c:rich>
                  <a:bodyPr/>
                  <a:lstStyle/>
                  <a:p>
                    <a:fld id="{DB63AF3E-97C5-407B-979A-0D9EE882FAFA}" type="CELLRANGE">
                      <a:rPr lang="ru-RU"/>
                      <a:pPr/>
                      <a:t>[ДИАПАЗОН ЯЧЕЕК]</a:t>
                    </a:fld>
                    <a:endParaRPr lang="ru-RU" baseline="0"/>
                  </a:p>
                  <a:p>
                    <a:fld id="{621FE1C7-D55C-445E-A737-D1CE78B03C6C}"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F-BA93-4284-B5F6-11A9827B9F35}"/>
                </c:ext>
              </c:extLst>
            </c:dLbl>
            <c:dLbl>
              <c:idx val="20"/>
              <c:layout>
                <c:manualLayout>
                  <c:x val="4.3658323064423498E-3"/>
                  <c:y val="-3.7987185987206198E-2"/>
                </c:manualLayout>
              </c:layout>
              <c:tx>
                <c:rich>
                  <a:bodyPr/>
                  <a:lstStyle/>
                  <a:p>
                    <a:fld id="{D5C46FCF-BE29-4688-8DB9-15F8FC7519CC}" type="CELLRANGE">
                      <a:rPr lang="ru-RU"/>
                      <a:pPr/>
                      <a:t>[ДИАПАЗОН ЯЧЕЕК]</a:t>
                    </a:fld>
                    <a:endParaRPr lang="ru-RU" baseline="0"/>
                  </a:p>
                  <a:p>
                    <a:fld id="{4FA55FD3-DA10-46C6-BFD6-4AC357AABE8D}"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20-BA93-4284-B5F6-11A9827B9F35}"/>
                </c:ext>
              </c:extLst>
            </c:dLbl>
            <c:dLbl>
              <c:idx val="21"/>
              <c:layout/>
              <c:tx>
                <c:rich>
                  <a:bodyPr/>
                  <a:lstStyle/>
                  <a:p>
                    <a:fld id="{357004EE-F4B5-4173-B72D-13F122008FBF}" type="CELLRANGE">
                      <a:rPr lang="ru-RU"/>
                      <a:pPr/>
                      <a:t>[ДИАПАЗОН ЯЧЕЕК]</a:t>
                    </a:fld>
                    <a:r>
                      <a:rPr lang="ru-RU" baseline="0"/>
                      <a:t>
</a:t>
                    </a:r>
                    <a:fld id="{513B1C43-1C3F-49FA-A281-21256C751B6C}"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24-36D4-4BE0-84D4-FB56DF03E8C3}"/>
                </c:ext>
              </c:extLst>
            </c:dLbl>
            <c:dLbl>
              <c:idx val="22"/>
              <c:layout/>
              <c:tx>
                <c:rich>
                  <a:bodyPr/>
                  <a:lstStyle/>
                  <a:p>
                    <a:fld id="{0EE7D60D-FFDA-427A-8E9B-8C265D3FF116}" type="CELLRANGE">
                      <a:rPr lang="ru-RU"/>
                      <a:pPr/>
                      <a:t>[ДИАПАЗОН ЯЧЕЕК]</a:t>
                    </a:fld>
                    <a:endParaRPr lang="ru-RU" baseline="0"/>
                  </a:p>
                  <a:p>
                    <a:fld id="{1C2137C9-020F-41EC-A7AD-F6D78D7D20CA}" type="CATEGORYNAME">
                      <a:rPr lang="ru-RU"/>
                      <a:pPr/>
                      <a:t>[ИМЯ КАТЕГОРИИ]</a:t>
                    </a:fld>
                    <a:endParaRPr lang="ru-RU"/>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11-BA93-4284-B5F6-11A9827B9F35}"/>
                </c:ext>
              </c:extLst>
            </c:dLbl>
            <c:dLbl>
              <c:idx val="23"/>
              <c:layout/>
              <c:tx>
                <c:rich>
                  <a:bodyPr/>
                  <a:lstStyle/>
                  <a:p>
                    <a:fld id="{69378A32-5FCB-4CBF-BF11-E415DC9D57AC}" type="CELLRANGE">
                      <a:rPr lang="ru-RU"/>
                      <a:pPr/>
                      <a:t>[ДИАПАЗОН ЯЧЕЕК]</a:t>
                    </a:fld>
                    <a:r>
                      <a:rPr lang="ru-RU" baseline="0"/>
                      <a:t>
</a:t>
                    </a:r>
                    <a:fld id="{68402715-C938-43EB-B13B-DCB35E83B30E}"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25-36D4-4BE0-84D4-FB56DF03E8C3}"/>
                </c:ext>
              </c:extLst>
            </c:dLbl>
            <c:dLbl>
              <c:idx val="24"/>
              <c:layout>
                <c:manualLayout>
                  <c:x val="-6.2461344620809801E-2"/>
                  <c:y val="-3.9988095376890999E-2"/>
                </c:manualLayout>
              </c:layout>
              <c:tx>
                <c:rich>
                  <a:bodyPr/>
                  <a:lstStyle/>
                  <a:p>
                    <a:fld id="{314C1CD7-0C68-44A3-8590-52C971305485}" type="CELLRANGE">
                      <a:rPr lang="ru-RU"/>
                      <a:pPr/>
                      <a:t>[ДИАПАЗОН ЯЧЕЕК]</a:t>
                    </a:fld>
                    <a:endParaRPr lang="ru-RU" baseline="0"/>
                  </a:p>
                  <a:p>
                    <a:fld id="{1245CDCD-556C-4D77-994D-29FDF14D632A}"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13-BA93-4284-B5F6-11A9827B9F35}"/>
                </c:ext>
              </c:extLst>
            </c:dLbl>
            <c:dLbl>
              <c:idx val="25"/>
              <c:layout>
                <c:manualLayout>
                  <c:x val="6.7478808173989501E-3"/>
                  <c:y val="-3.5986276597521301E-2"/>
                </c:manualLayout>
              </c:layout>
              <c:tx>
                <c:rich>
                  <a:bodyPr/>
                  <a:lstStyle/>
                  <a:p>
                    <a:fld id="{90C9237F-4A79-45F7-8D37-687486F243FE}" type="CELLRANGE">
                      <a:rPr lang="ru-RU"/>
                      <a:pPr/>
                      <a:t>[ДИАПАЗОН ЯЧЕЕК]</a:t>
                    </a:fld>
                    <a:endParaRPr lang="ru-RU" baseline="0"/>
                  </a:p>
                  <a:p>
                    <a:fld id="{F781B3D0-6BC0-4793-A30F-B3F3AE75C60D}"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21-BA93-4284-B5F6-11A9827B9F35}"/>
                </c:ext>
              </c:extLst>
            </c:dLbl>
            <c:dLbl>
              <c:idx val="26"/>
              <c:layout/>
              <c:tx>
                <c:rich>
                  <a:bodyPr/>
                  <a:lstStyle/>
                  <a:p>
                    <a:fld id="{2CF23E1F-269B-4005-B54A-9440FE926CD5}" type="CELLRANGE">
                      <a:rPr lang="ru-RU"/>
                      <a:pPr/>
                      <a:t>[ДИАПАЗОН ЯЧЕЕК]</a:t>
                    </a:fld>
                    <a:r>
                      <a:rPr lang="ru-RU" baseline="0"/>
                      <a:t>
</a:t>
                    </a:r>
                    <a:fld id="{8649F1AB-A21A-4E5F-9FB9-180450AB7AA9}"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26-36D4-4BE0-84D4-FB56DF03E8C3}"/>
                </c:ext>
              </c:extLst>
            </c:dLbl>
            <c:dLbl>
              <c:idx val="27"/>
              <c:layout/>
              <c:tx>
                <c:rich>
                  <a:bodyPr/>
                  <a:lstStyle/>
                  <a:p>
                    <a:fld id="{3D361E8D-047C-4FD3-A316-E5E73D985749}" type="CELLRANGE">
                      <a:rPr lang="ru-RU"/>
                      <a:pPr/>
                      <a:t>[ДИАПАЗОН ЯЧЕЕК]</a:t>
                    </a:fld>
                    <a:endParaRPr lang="ru-RU" baseline="0"/>
                  </a:p>
                  <a:p>
                    <a:fld id="{5DD15FFC-4FD2-473C-AF53-57E5597857F6}" type="CATEGORYNAME">
                      <a:rPr lang="ru-RU"/>
                      <a:pPr/>
                      <a:t>[ИМЯ КАТЕГОРИИ]</a:t>
                    </a:fld>
                    <a:endParaRPr lang="ru-RU"/>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15-BA93-4284-B5F6-11A9827B9F35}"/>
                </c:ext>
              </c:extLst>
            </c:dLbl>
            <c:dLbl>
              <c:idx val="28"/>
              <c:layout/>
              <c:tx>
                <c:rich>
                  <a:bodyPr/>
                  <a:lstStyle/>
                  <a:p>
                    <a:fld id="{791C11E4-3BA7-49FA-AAAF-5E961D9B96BE}" type="CELLRANGE">
                      <a:rPr lang="ru-RU"/>
                      <a:pPr/>
                      <a:t>[ДИАПАЗОН ЯЧЕЕК]</a:t>
                    </a:fld>
                    <a:r>
                      <a:rPr lang="ru-RU" baseline="0"/>
                      <a:t>
</a:t>
                    </a:r>
                    <a:fld id="{7A0BA616-A26F-4C4C-9758-52E84D840639}" type="CATEGORYNAME">
                      <a:rPr lang="ru-RU" baseline="0"/>
                      <a:pPr/>
                      <a:t>[ИМЯ КАТЕГОРИИ]</a:t>
                    </a:fld>
                    <a:endParaRPr lang="ru-RU" baseline="0"/>
                  </a:p>
                </c:rich>
              </c:tx>
              <c:dLblPos val="t"/>
              <c:showLegendKey val="0"/>
              <c:showVal val="0"/>
              <c:showCatName val="1"/>
              <c:showSerName val="0"/>
              <c:showPercent val="0"/>
              <c:showBubbleSize val="0"/>
              <c:separator>
</c:separator>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27-36D4-4BE0-84D4-FB56DF03E8C3}"/>
                </c:ext>
              </c:extLst>
            </c:dLbl>
            <c:dLbl>
              <c:idx val="29"/>
              <c:layout>
                <c:manualLayout>
                  <c:x val="-5.82329453680097E-2"/>
                  <c:y val="-3.7987185987206303E-2"/>
                </c:manualLayout>
              </c:layout>
              <c:tx>
                <c:rich>
                  <a:bodyPr/>
                  <a:lstStyle/>
                  <a:p>
                    <a:fld id="{73632DBA-483B-48A4-B006-E179E22C78BD}" type="CELLRANGE">
                      <a:rPr lang="ru-RU"/>
                      <a:pPr/>
                      <a:t>[ДИАПАЗОН ЯЧЕЕК]</a:t>
                    </a:fld>
                    <a:endParaRPr lang="ru-RU" baseline="0"/>
                  </a:p>
                  <a:p>
                    <a:fld id="{7E673E0C-C765-4171-9BF0-284D0B600F5D}"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17-BA93-4284-B5F6-11A9827B9F35}"/>
                </c:ext>
              </c:extLst>
            </c:dLbl>
            <c:dLbl>
              <c:idx val="30"/>
              <c:layout>
                <c:manualLayout>
                  <c:x val="-3.4762013157195898E-4"/>
                  <c:y val="3.0543682070227399E-2"/>
                </c:manualLayout>
              </c:layout>
              <c:tx>
                <c:rich>
                  <a:bodyPr/>
                  <a:lstStyle/>
                  <a:p>
                    <a:fld id="{82F8C4E1-AAD2-43BA-A1BC-2DEA4734EF88}" type="CELLRANGE">
                      <a:rPr lang="ru-RU"/>
                      <a:pPr/>
                      <a:t>[ДИАПАЗОН ЯЧЕЕК]</a:t>
                    </a:fld>
                    <a:endParaRPr lang="ru-RU" baseline="0"/>
                  </a:p>
                  <a:p>
                    <a:fld id="{6A2CDE0E-E9B3-45AA-8217-71EF639AF96A}"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22-BA93-4284-B5F6-11A9827B9F35}"/>
                </c:ext>
              </c:extLst>
            </c:dLbl>
            <c:dLbl>
              <c:idx val="31"/>
              <c:layout>
                <c:manualLayout>
                  <c:x val="-2.7377025582371699E-2"/>
                  <c:y val="2.2151994290661801E-2"/>
                </c:manualLayout>
              </c:layout>
              <c:tx>
                <c:rich>
                  <a:bodyPr/>
                  <a:lstStyle/>
                  <a:p>
                    <a:fld id="{F943810E-3898-4933-828A-CA24802EAB30}" type="CELLRANGE">
                      <a:rPr lang="en-US" baseline="0"/>
                      <a:pPr/>
                      <a:t>[ДИАПАЗОН ЯЧЕЕК]</a:t>
                    </a:fld>
                    <a:r>
                      <a:rPr lang="en-US" baseline="0"/>
                      <a:t>
</a:t>
                    </a:r>
                    <a:fld id="{23D3BD87-FA35-4DF7-A4C6-CFCB34940881}" type="CATEGORYNAME">
                      <a:rPr lang="en-US" baseline="0"/>
                      <a:pPr/>
                      <a:t>[ИМЯ КАТЕГОРИИ]</a:t>
                    </a:fld>
                    <a:endParaRPr lang="en-US" baseline="0"/>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28-36D4-4BE0-84D4-FB56DF03E8C3}"/>
                </c:ext>
              </c:extLst>
            </c:dLbl>
            <c:dLbl>
              <c:idx val="32"/>
              <c:layout>
                <c:manualLayout>
                  <c:x val="-3.2086667617318897E-2"/>
                  <c:y val="2.3995683154955198E-2"/>
                </c:manualLayout>
              </c:layout>
              <c:tx>
                <c:rich>
                  <a:bodyPr/>
                  <a:lstStyle/>
                  <a:p>
                    <a:fld id="{F708C4DB-A017-4DC5-8E99-16E628482E68}" type="CELLRANGE">
                      <a:rPr lang="ru-RU"/>
                      <a:pPr/>
                      <a:t>[ДИАПАЗОН ЯЧЕЕК]</a:t>
                    </a:fld>
                    <a:endParaRPr lang="ru-RU" baseline="0"/>
                  </a:p>
                  <a:p>
                    <a:fld id="{595C2539-F6E1-4C51-862A-145493F27DCE}"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19-BA93-4284-B5F6-11A9827B9F35}"/>
                </c:ext>
              </c:extLst>
            </c:dLbl>
            <c:dLbl>
              <c:idx val="33"/>
              <c:layout>
                <c:manualLayout>
                  <c:x val="-2.63338277579028E-2"/>
                  <c:y val="2.3995683154955198E-2"/>
                </c:manualLayout>
              </c:layout>
              <c:tx>
                <c:rich>
                  <a:bodyPr/>
                  <a:lstStyle/>
                  <a:p>
                    <a:fld id="{9BD6856C-E243-4A8A-B7A3-0620903CA9A6}" type="CELLRANGE">
                      <a:rPr lang="en-US" baseline="0"/>
                      <a:pPr/>
                      <a:t>[ДИАПАЗОН ЯЧЕЕК]</a:t>
                    </a:fld>
                    <a:r>
                      <a:rPr lang="en-US" baseline="0"/>
                      <a:t>
</a:t>
                    </a:r>
                    <a:fld id="{1F64AB64-4140-4EBF-83BA-EE9E28A82E04}" type="CATEGORYNAME">
                      <a:rPr lang="en-US" baseline="0"/>
                      <a:pPr/>
                      <a:t>[ИМЯ КАТЕГОРИИ]</a:t>
                    </a:fld>
                    <a:endParaRPr lang="en-US" baseline="0"/>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29-36D4-4BE0-84D4-FB56DF03E8C3}"/>
                </c:ext>
              </c:extLst>
            </c:dLbl>
            <c:dLbl>
              <c:idx val="34"/>
              <c:layout>
                <c:manualLayout>
                  <c:x val="-1.7391196957139601E-2"/>
                  <c:y val="3.4073838142119103E-2"/>
                </c:manualLayout>
              </c:layout>
              <c:tx>
                <c:rich>
                  <a:bodyPr/>
                  <a:lstStyle/>
                  <a:p>
                    <a:fld id="{B5CA959A-2F77-465E-8B29-3DA63F3430B7}" type="CELLRANGE">
                      <a:rPr lang="ru-RU"/>
                      <a:pPr/>
                      <a:t>[ДИАПАЗОН ЯЧЕЕК]</a:t>
                    </a:fld>
                    <a:endParaRPr lang="ru-RU" baseline="0"/>
                  </a:p>
                  <a:p>
                    <a:fld id="{B0300BA0-DB4C-4390-82BC-250C5E414344}" type="CATEGORYNAME">
                      <a:rPr lang="ru-RU"/>
                      <a:pPr/>
                      <a:t>[ИМЯ КАТЕГОРИИ]</a:t>
                    </a:fld>
                    <a:endParaRPr lang="ru-RU"/>
                  </a:p>
                </c:rich>
              </c:tx>
              <c:dLblPos val="r"/>
              <c:showLegendKey val="0"/>
              <c:showVal val="0"/>
              <c:showCatName val="1"/>
              <c:showSerName val="0"/>
              <c:showPercent val="0"/>
              <c:showBubbleSize val="0"/>
              <c:separator>
</c:separator>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1B-BA93-4284-B5F6-11A9827B9F3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eparator>
</c:separator>
            <c:showLeaderLines val="0"/>
            <c:extLst>
              <c:ext xmlns:c15="http://schemas.microsoft.com/office/drawing/2012/chart" uri="{CE6537A1-D6FC-4f65-9D91-7224C49458BB}">
                <c15:layout/>
                <c15:showDataLabelsRange val="1"/>
                <c15:showLeaderLines val="0"/>
              </c:ext>
            </c:extLst>
          </c:dLbls>
          <c:cat>
            <c:numRef>
              <c:f>'Кристалл Судьбы'!$AR$118:$AR$152</c:f>
              <c:numCache>
                <c:formatCode>[$-FC19]dd\ mmmm;@</c:formatCode>
                <c:ptCount val="35"/>
                <c:pt idx="0">
                  <c:v>44768</c:v>
                </c:pt>
                <c:pt idx="1">
                  <c:v>44780</c:v>
                </c:pt>
                <c:pt idx="2">
                  <c:v>44793</c:v>
                </c:pt>
                <c:pt idx="3">
                  <c:v>44805</c:v>
                </c:pt>
                <c:pt idx="4">
                  <c:v>44819</c:v>
                </c:pt>
                <c:pt idx="5">
                  <c:v>44820</c:v>
                </c:pt>
                <c:pt idx="6">
                  <c:v>44832</c:v>
                </c:pt>
                <c:pt idx="7">
                  <c:v>44845</c:v>
                </c:pt>
                <c:pt idx="8">
                  <c:v>44857</c:v>
                </c:pt>
                <c:pt idx="9">
                  <c:v>44871</c:v>
                </c:pt>
                <c:pt idx="10">
                  <c:v>44872</c:v>
                </c:pt>
                <c:pt idx="11">
                  <c:v>44884</c:v>
                </c:pt>
                <c:pt idx="12">
                  <c:v>44897</c:v>
                </c:pt>
                <c:pt idx="13">
                  <c:v>44909</c:v>
                </c:pt>
                <c:pt idx="14">
                  <c:v>44923</c:v>
                </c:pt>
                <c:pt idx="15">
                  <c:v>44924</c:v>
                </c:pt>
                <c:pt idx="16">
                  <c:v>44936</c:v>
                </c:pt>
                <c:pt idx="17">
                  <c:v>44949</c:v>
                </c:pt>
                <c:pt idx="18">
                  <c:v>44961</c:v>
                </c:pt>
                <c:pt idx="19">
                  <c:v>44975</c:v>
                </c:pt>
                <c:pt idx="20">
                  <c:v>44976</c:v>
                </c:pt>
                <c:pt idx="21">
                  <c:v>44988</c:v>
                </c:pt>
                <c:pt idx="22">
                  <c:v>45001</c:v>
                </c:pt>
                <c:pt idx="23">
                  <c:v>45013</c:v>
                </c:pt>
                <c:pt idx="24">
                  <c:v>45027</c:v>
                </c:pt>
                <c:pt idx="25">
                  <c:v>45028</c:v>
                </c:pt>
                <c:pt idx="26">
                  <c:v>45040</c:v>
                </c:pt>
                <c:pt idx="27">
                  <c:v>45053</c:v>
                </c:pt>
                <c:pt idx="28">
                  <c:v>45065</c:v>
                </c:pt>
                <c:pt idx="29">
                  <c:v>45080</c:v>
                </c:pt>
                <c:pt idx="30">
                  <c:v>45081</c:v>
                </c:pt>
                <c:pt idx="31">
                  <c:v>45093</c:v>
                </c:pt>
                <c:pt idx="32">
                  <c:v>45106</c:v>
                </c:pt>
                <c:pt idx="33">
                  <c:v>45118</c:v>
                </c:pt>
                <c:pt idx="34">
                  <c:v>45132</c:v>
                </c:pt>
              </c:numCache>
            </c:numRef>
          </c:cat>
          <c:val>
            <c:numRef>
              <c:f>'Кристалл Судьбы'!$AU$118:$AU$152</c:f>
              <c:numCache>
                <c:formatCode>General</c:formatCode>
                <c:ptCount val="35"/>
                <c:pt idx="0">
                  <c:v>0</c:v>
                </c:pt>
                <c:pt idx="1">
                  <c:v>4.5</c:v>
                </c:pt>
                <c:pt idx="2">
                  <c:v>9</c:v>
                </c:pt>
                <c:pt idx="3">
                  <c:v>4.5</c:v>
                </c:pt>
                <c:pt idx="4">
                  <c:v>0</c:v>
                </c:pt>
                <c:pt idx="5">
                  <c:v>0</c:v>
                </c:pt>
                <c:pt idx="6">
                  <c:v>3</c:v>
                </c:pt>
                <c:pt idx="7">
                  <c:v>6</c:v>
                </c:pt>
                <c:pt idx="8">
                  <c:v>3</c:v>
                </c:pt>
                <c:pt idx="9">
                  <c:v>0</c:v>
                </c:pt>
                <c:pt idx="10">
                  <c:v>0</c:v>
                </c:pt>
                <c:pt idx="11">
                  <c:v>-2.5</c:v>
                </c:pt>
                <c:pt idx="12">
                  <c:v>-5</c:v>
                </c:pt>
                <c:pt idx="13">
                  <c:v>-2.5</c:v>
                </c:pt>
                <c:pt idx="14">
                  <c:v>0</c:v>
                </c:pt>
                <c:pt idx="15">
                  <c:v>0</c:v>
                </c:pt>
                <c:pt idx="16">
                  <c:v>4</c:v>
                </c:pt>
                <c:pt idx="17">
                  <c:v>8</c:v>
                </c:pt>
                <c:pt idx="18">
                  <c:v>4</c:v>
                </c:pt>
                <c:pt idx="19">
                  <c:v>0</c:v>
                </c:pt>
                <c:pt idx="20">
                  <c:v>0</c:v>
                </c:pt>
                <c:pt idx="21">
                  <c:v>5</c:v>
                </c:pt>
                <c:pt idx="22">
                  <c:v>10</c:v>
                </c:pt>
                <c:pt idx="23">
                  <c:v>5</c:v>
                </c:pt>
                <c:pt idx="24">
                  <c:v>0</c:v>
                </c:pt>
                <c:pt idx="25">
                  <c:v>0</c:v>
                </c:pt>
                <c:pt idx="26">
                  <c:v>3.5</c:v>
                </c:pt>
                <c:pt idx="27">
                  <c:v>7</c:v>
                </c:pt>
                <c:pt idx="28">
                  <c:v>3.5</c:v>
                </c:pt>
                <c:pt idx="29">
                  <c:v>0</c:v>
                </c:pt>
                <c:pt idx="30">
                  <c:v>0</c:v>
                </c:pt>
                <c:pt idx="31">
                  <c:v>-2</c:v>
                </c:pt>
                <c:pt idx="32">
                  <c:v>-4</c:v>
                </c:pt>
                <c:pt idx="33">
                  <c:v>-2</c:v>
                </c:pt>
                <c:pt idx="34">
                  <c:v>0</c:v>
                </c:pt>
              </c:numCache>
            </c:numRef>
          </c:val>
          <c:smooth val="0"/>
          <c:extLst>
            <c:ext xmlns:c15="http://schemas.microsoft.com/office/drawing/2012/chart" uri="{02D57815-91ED-43cb-92C2-25804820EDAC}">
              <c15:datalabelsRange>
                <c15:f>'Кристалл Судьбы'!$AV$118:$AV$152</c15:f>
                <c15:dlblRangeCache>
                  <c:ptCount val="35"/>
                  <c:pt idx="0">
                    <c:v> Меркурий ↗</c:v>
                  </c:pt>
                  <c:pt idx="1">
                    <c:v>13й день ↗</c:v>
                  </c:pt>
                  <c:pt idx="2">
                    <c:v>Центр Меркурия</c:v>
                  </c:pt>
                  <c:pt idx="3">
                    <c:v>13й день ↘ </c:v>
                  </c:pt>
                  <c:pt idx="4">
                    <c:v>Меркурий ↘ </c:v>
                  </c:pt>
                  <c:pt idx="5">
                    <c:v>Венера ↗</c:v>
                  </c:pt>
                  <c:pt idx="6">
                    <c:v>13й день ↗</c:v>
                  </c:pt>
                  <c:pt idx="7">
                    <c:v>Центр Венеры</c:v>
                  </c:pt>
                  <c:pt idx="8">
                    <c:v>13й день ↘ </c:v>
                  </c:pt>
                  <c:pt idx="9">
                    <c:v>Венера ↘ </c:v>
                  </c:pt>
                  <c:pt idx="10">
                    <c:v>Марс ↘ </c:v>
                  </c:pt>
                  <c:pt idx="11">
                    <c:v>13й день ↘</c:v>
                  </c:pt>
                  <c:pt idx="12">
                    <c:v>Центр Марса</c:v>
                  </c:pt>
                  <c:pt idx="13">
                    <c:v>13й день ↗</c:v>
                  </c:pt>
                  <c:pt idx="14">
                    <c:v>Марс ↗ </c:v>
                  </c:pt>
                  <c:pt idx="15">
                    <c:v>Юпитер ↗</c:v>
                  </c:pt>
                  <c:pt idx="16">
                    <c:v>13й день ↗</c:v>
                  </c:pt>
                  <c:pt idx="17">
                    <c:v>Центр Юпитера</c:v>
                  </c:pt>
                  <c:pt idx="18">
                    <c:v>13й день ↘</c:v>
                  </c:pt>
                  <c:pt idx="19">
                    <c:v>Юпитер ↘ </c:v>
                  </c:pt>
                  <c:pt idx="20">
                    <c:v>Сатурн ↗</c:v>
                  </c:pt>
                  <c:pt idx="21">
                    <c:v>13й день ↗</c:v>
                  </c:pt>
                  <c:pt idx="22">
                    <c:v>Центр Сатурна</c:v>
                  </c:pt>
                  <c:pt idx="23">
                    <c:v>13й день ↘</c:v>
                  </c:pt>
                  <c:pt idx="24">
                    <c:v>Сатурн ↘ </c:v>
                  </c:pt>
                  <c:pt idx="25">
                    <c:v>Уран ↗ </c:v>
                  </c:pt>
                  <c:pt idx="26">
                    <c:v>13й день ↗</c:v>
                  </c:pt>
                  <c:pt idx="27">
                    <c:v>Центр Урана</c:v>
                  </c:pt>
                  <c:pt idx="28">
                    <c:v>13й день ↘</c:v>
                  </c:pt>
                  <c:pt idx="29">
                    <c:v>Уран ↘ </c:v>
                  </c:pt>
                  <c:pt idx="30">
                    <c:v>Нептун ↘ </c:v>
                  </c:pt>
                  <c:pt idx="31">
                    <c:v>13й день ↘</c:v>
                  </c:pt>
                  <c:pt idx="32">
                    <c:v>Центр Нептуна</c:v>
                  </c:pt>
                  <c:pt idx="33">
                    <c:v>13й день ↗</c:v>
                  </c:pt>
                  <c:pt idx="34">
                    <c:v>Нептун ↗</c:v>
                  </c:pt>
                </c15:dlblRangeCache>
              </c15:datalabelsRange>
            </c:ext>
            <c:ext xmlns:c16="http://schemas.microsoft.com/office/drawing/2014/chart" uri="{C3380CC4-5D6E-409C-BE32-E72D297353CC}">
              <c16:uniqueId val="{00000023-BA93-4284-B5F6-11A9827B9F35}"/>
            </c:ext>
          </c:extLst>
        </c:ser>
        <c:dLbls>
          <c:dLblPos val="t"/>
          <c:showLegendKey val="0"/>
          <c:showVal val="1"/>
          <c:showCatName val="0"/>
          <c:showSerName val="0"/>
          <c:showPercent val="0"/>
          <c:showBubbleSize val="0"/>
        </c:dLbls>
        <c:smooth val="0"/>
        <c:axId val="31603712"/>
        <c:axId val="31629312"/>
      </c:lineChart>
      <c:dateAx>
        <c:axId val="3160371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r>
                  <a:rPr lang="ru-RU" b="1"/>
                  <a:t>Даты года</a:t>
                </a:r>
                <a:endParaRPr lang="en-US" b="1"/>
              </a:p>
            </c:rich>
          </c:tx>
          <c:layout/>
          <c:overlay val="0"/>
          <c:spPr>
            <a:noFill/>
            <a:ln>
              <a:noFill/>
            </a:ln>
            <a:effectLst/>
          </c:spPr>
          <c:txPr>
            <a:bodyPr rot="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endParaRPr lang="ru-RU"/>
            </a:p>
          </c:txPr>
        </c:title>
        <c:numFmt formatCode="[$-FC19]dd\ mmmm;@" sourceLinked="1"/>
        <c:majorTickMark val="out"/>
        <c:minorTickMark val="none"/>
        <c:tickLblPos val="nextTo"/>
        <c:spPr>
          <a:noFill/>
          <a:ln w="25400" cap="flat" cmpd="sng" algn="ctr">
            <a:solidFill>
              <a:schemeClr val="tx1"/>
            </a:solidFill>
            <a:round/>
          </a:ln>
          <a:effectLst/>
        </c:spPr>
        <c:txPr>
          <a:bodyPr rot="-60000000" spcFirstLastPara="1" vertOverflow="ellipsis" vert="horz" wrap="square" anchor="ctr" anchorCtr="1"/>
          <a:lstStyle/>
          <a:p>
            <a:pPr>
              <a:defRPr sz="900" b="1" i="0" u="none" strike="noStrike" kern="1200" cap="none" spc="0" normalizeH="0" baseline="0">
                <a:solidFill>
                  <a:schemeClr val="tx1"/>
                </a:solidFill>
                <a:latin typeface="+mn-lt"/>
                <a:ea typeface="+mn-ea"/>
                <a:cs typeface="+mn-cs"/>
              </a:defRPr>
            </a:pPr>
            <a:endParaRPr lang="ru-RU"/>
          </a:p>
        </c:txPr>
        <c:crossAx val="31629312"/>
        <c:crosses val="autoZero"/>
        <c:auto val="1"/>
        <c:lblOffset val="100"/>
        <c:baseTimeUnit val="days"/>
        <c:majorUnit val="1"/>
        <c:majorTimeUnit val="months"/>
        <c:minorUnit val="7"/>
        <c:minorTimeUnit val="days"/>
      </c:dateAx>
      <c:valAx>
        <c:axId val="3162931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r>
                  <a:rPr lang="ru-RU" b="1"/>
                  <a:t>Сила энергии</a:t>
                </a:r>
                <a:endParaRPr lang="en-US" b="1"/>
              </a:p>
            </c:rich>
          </c:tx>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1603712"/>
        <c:crosses val="autoZero"/>
        <c:crossBetween val="between"/>
      </c:valA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ru-RU"/>
        </a:p>
      </c:txPr>
    </c:title>
    <c:autoTitleDeleted val="0"/>
    <c:plotArea>
      <c:layout/>
      <c:areaChart>
        <c:grouping val="stacked"/>
        <c:varyColors val="0"/>
        <c:ser>
          <c:idx val="0"/>
          <c:order val="0"/>
          <c:tx>
            <c:strRef>
              <c:f>'Кристалл Судьбы'!$F$107</c:f>
              <c:strCache>
                <c:ptCount val="1"/>
                <c:pt idx="0">
                  <c:v>Тень Кармы - ОПВ 3</c:v>
                </c:pt>
              </c:strCache>
            </c:strRef>
          </c:tx>
          <c:spPr>
            <a:solidFill>
              <a:schemeClr val="accent1">
                <a:alpha val="85000"/>
              </a:schemeClr>
            </a:solidFill>
            <a:ln>
              <a:noFill/>
            </a:ln>
            <a:effectLst>
              <a:innerShdw dist="12700" dir="16200000">
                <a:schemeClr val="lt1"/>
              </a:innerShdw>
            </a:effectLst>
          </c:spPr>
          <c:cat>
            <c:numRef>
              <c:f>'Кристалл Судьбы'!$B$115:$W$115</c:f>
              <c:numCache>
                <c:formatCode>General</c:formatCode>
                <c:ptCount val="22"/>
                <c:pt idx="0">
                  <c:v>2012</c:v>
                </c:pt>
                <c:pt idx="1">
                  <c:v>2013</c:v>
                </c:pt>
                <c:pt idx="2">
                  <c:v>2014</c:v>
                </c:pt>
                <c:pt idx="3">
                  <c:v>2015</c:v>
                </c:pt>
                <c:pt idx="4">
                  <c:v>2016</c:v>
                </c:pt>
                <c:pt idx="5">
                  <c:v>2017</c:v>
                </c:pt>
                <c:pt idx="6">
                  <c:v>2018</c:v>
                </c:pt>
                <c:pt idx="7">
                  <c:v>2019</c:v>
                </c:pt>
                <c:pt idx="8">
                  <c:v>2020</c:v>
                </c:pt>
                <c:pt idx="9">
                  <c:v>2021</c:v>
                </c:pt>
                <c:pt idx="10">
                  <c:v>2022</c:v>
                </c:pt>
                <c:pt idx="11">
                  <c:v>2023</c:v>
                </c:pt>
                <c:pt idx="12">
                  <c:v>2024</c:v>
                </c:pt>
                <c:pt idx="13">
                  <c:v>2025</c:v>
                </c:pt>
                <c:pt idx="14">
                  <c:v>2026</c:v>
                </c:pt>
                <c:pt idx="15">
                  <c:v>2027</c:v>
                </c:pt>
                <c:pt idx="16">
                  <c:v>2028</c:v>
                </c:pt>
                <c:pt idx="17">
                  <c:v>2029</c:v>
                </c:pt>
                <c:pt idx="18">
                  <c:v>2030</c:v>
                </c:pt>
                <c:pt idx="19">
                  <c:v>2031</c:v>
                </c:pt>
                <c:pt idx="20">
                  <c:v>2032</c:v>
                </c:pt>
                <c:pt idx="21">
                  <c:v>2033</c:v>
                </c:pt>
              </c:numCache>
            </c:numRef>
          </c:cat>
          <c:val>
            <c:numRef>
              <c:f>'Кристалл Судьбы'!$B$114:$W$114</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extLst>
            <c:ext xmlns:c16="http://schemas.microsoft.com/office/drawing/2014/chart" uri="{C3380CC4-5D6E-409C-BE32-E72D297353CC}">
              <c16:uniqueId val="{00000000-451E-4F79-8376-69B5B31F521D}"/>
            </c:ext>
          </c:extLst>
        </c:ser>
        <c:dLbls>
          <c:showLegendKey val="0"/>
          <c:showVal val="0"/>
          <c:showCatName val="0"/>
          <c:showSerName val="0"/>
          <c:showPercent val="0"/>
          <c:showBubbleSize val="0"/>
        </c:dLbls>
        <c:axId val="32380032"/>
        <c:axId val="32381568"/>
      </c:areaChart>
      <c:catAx>
        <c:axId val="3238003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ru-RU"/>
          </a:p>
        </c:txPr>
        <c:crossAx val="32381568"/>
        <c:crosses val="autoZero"/>
        <c:auto val="1"/>
        <c:lblAlgn val="ctr"/>
        <c:lblOffset val="100"/>
        <c:noMultiLvlLbl val="0"/>
      </c:catAx>
      <c:valAx>
        <c:axId val="32381568"/>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ru-RU"/>
          </a:p>
        </c:txPr>
        <c:crossAx val="3238003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ru-RU"/>
        </a:p>
      </c:txPr>
    </c:legend>
    <c:plotVisOnly val="1"/>
    <c:dispBlanksAs val="zero"/>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ru-RU"/>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ru-RU"/>
              <a:t>График Энергетики</a:t>
            </a:r>
            <a:endParaRPr lang="en-US"/>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ru-RU"/>
        </a:p>
      </c:txPr>
    </c:title>
    <c:autoTitleDeleted val="0"/>
    <c:plotArea>
      <c:layout/>
      <c:lineChart>
        <c:grouping val="standard"/>
        <c:varyColors val="0"/>
        <c:ser>
          <c:idx val="0"/>
          <c:order val="0"/>
          <c:tx>
            <c:v>Уровень</c:v>
          </c:tx>
          <c:spPr>
            <a:ln w="38100" cap="rnd">
              <a:solidFill>
                <a:schemeClr val="accent1"/>
              </a:solidFill>
              <a:round/>
            </a:ln>
            <a:effectLst/>
          </c:spPr>
          <c:marker>
            <c:symbol val="none"/>
          </c:marker>
          <c:dLbls>
            <c:dLbl>
              <c:idx val="0"/>
              <c:layout>
                <c:manualLayout>
                  <c:x val="-1.82320998682238E-2"/>
                  <c:y val="-4.80147779656781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CF9-4AFB-A91E-7489E9430452}"/>
                </c:ext>
              </c:extLst>
            </c:dLbl>
            <c:dLbl>
              <c:idx val="1"/>
              <c:layout>
                <c:manualLayout>
                  <c:x val="-1.5378876101678599E-2"/>
                  <c:y val="-4.0812561270826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CF9-4AFB-A91E-7489E9430452}"/>
                </c:ext>
              </c:extLst>
            </c:dLbl>
            <c:dLbl>
              <c:idx val="2"/>
              <c:layout>
                <c:manualLayout>
                  <c:x val="-1.5378876101678599E-2"/>
                  <c:y val="-6.481995025366550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CF9-4AFB-A91E-7489E9430452}"/>
                </c:ext>
              </c:extLst>
            </c:dLbl>
            <c:dLbl>
              <c:idx val="3"/>
              <c:layout>
                <c:manualLayout>
                  <c:x val="-1.3952264218406099E-2"/>
                  <c:y val="-4.0812561270826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CF9-4AFB-A91E-7489E9430452}"/>
                </c:ext>
              </c:extLst>
            </c:dLbl>
            <c:dLbl>
              <c:idx val="4"/>
              <c:layout>
                <c:manualLayout>
                  <c:x val="-1.3952264218406099E-2"/>
                  <c:y val="-5.761773355881379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CF9-4AFB-A91E-7489E9430452}"/>
                </c:ext>
              </c:extLst>
            </c:dLbl>
            <c:dLbl>
              <c:idx val="5"/>
              <c:layout>
                <c:manualLayout>
                  <c:x val="-1.5378876101678599E-2"/>
                  <c:y val="-2.88088667794068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CF9-4AFB-A91E-7489E9430452}"/>
                </c:ext>
              </c:extLst>
            </c:dLbl>
            <c:dLbl>
              <c:idx val="6"/>
              <c:layout>
                <c:manualLayout>
                  <c:x val="-1.5378876101678599E-2"/>
                  <c:y val="-2.64081278811230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CF9-4AFB-A91E-7489E943045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ru-R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'Кристалл Судьбы'!$W$318:$AC$318</c:f>
              <c:numCache>
                <c:formatCode>General</c:formatCode>
                <c:ptCount val="7"/>
                <c:pt idx="0">
                  <c:v>2022</c:v>
                </c:pt>
                <c:pt idx="1">
                  <c:v>2023</c:v>
                </c:pt>
                <c:pt idx="2">
                  <c:v>2024</c:v>
                </c:pt>
                <c:pt idx="3">
                  <c:v>2025</c:v>
                </c:pt>
                <c:pt idx="4">
                  <c:v>2026</c:v>
                </c:pt>
                <c:pt idx="5">
                  <c:v>2027</c:v>
                </c:pt>
                <c:pt idx="6">
                  <c:v>2028</c:v>
                </c:pt>
              </c:numCache>
            </c:numRef>
          </c:cat>
          <c:val>
            <c:numRef>
              <c:f>'Кристалл Судьбы'!$W$320:$AC$320</c:f>
              <c:numCache>
                <c:formatCode>General</c:formatCode>
                <c:ptCount val="7"/>
                <c:pt idx="0">
                  <c:v>8</c:v>
                </c:pt>
                <c:pt idx="1">
                  <c:v>3</c:v>
                </c:pt>
                <c:pt idx="2">
                  <c:v>3</c:v>
                </c:pt>
                <c:pt idx="3">
                  <c:v>6</c:v>
                </c:pt>
                <c:pt idx="4">
                  <c:v>1</c:v>
                </c:pt>
                <c:pt idx="5">
                  <c:v>9</c:v>
                </c:pt>
                <c:pt idx="6">
                  <c:v>9</c:v>
                </c:pt>
              </c:numCache>
            </c:numRef>
          </c:val>
          <c:smooth val="0"/>
          <c:extLst>
            <c:ext xmlns:c16="http://schemas.microsoft.com/office/drawing/2014/chart" uri="{C3380CC4-5D6E-409C-BE32-E72D297353CC}">
              <c16:uniqueId val="{00000000-0158-40C6-8EE9-CCE914329985}"/>
            </c:ext>
          </c:extLst>
        </c:ser>
        <c:dLbls>
          <c:dLblPos val="ctr"/>
          <c:showLegendKey val="0"/>
          <c:showVal val="1"/>
          <c:showCatName val="0"/>
          <c:showSerName val="0"/>
          <c:showPercent val="0"/>
          <c:showBubbleSize val="0"/>
        </c:dLbls>
        <c:smooth val="0"/>
        <c:axId val="32186752"/>
        <c:axId val="32189824"/>
      </c:lineChart>
      <c:catAx>
        <c:axId val="3218675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r>
                  <a:rPr lang="ru-RU" b="1"/>
                  <a:t>года</a:t>
                </a:r>
                <a:endParaRPr lang="en-US" b="1"/>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ru-RU"/>
          </a:p>
        </c:txPr>
        <c:crossAx val="32189824"/>
        <c:crosses val="autoZero"/>
        <c:auto val="1"/>
        <c:lblAlgn val="ctr"/>
        <c:lblOffset val="100"/>
        <c:noMultiLvlLbl val="0"/>
      </c:catAx>
      <c:valAx>
        <c:axId val="3218982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r>
                  <a:rPr lang="ru-RU" b="1"/>
                  <a:t>Уровень</a:t>
                </a:r>
                <a:endParaRPr lang="en-US" b="1"/>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2186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Самореализации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Самореализация</c:v>
          </c:tx>
          <c:spPr>
            <a:ln w="19050" cap="rnd">
              <a:solidFill>
                <a:srgbClr val="7030A0"/>
              </a:solidFill>
              <a:round/>
            </a:ln>
            <a:effectLst/>
          </c:spPr>
          <c:marker>
            <c:symbol val="circle"/>
            <c:size val="5"/>
            <c:spPr>
              <a:solidFill>
                <a:srgbClr val="7030A0"/>
              </a:solidFill>
              <a:ln w="9525">
                <a:solidFill>
                  <a:srgbClr val="7030A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'Кристалл Судьбы'!$H$257:$O$257</c:f>
              <c:numCache>
                <c:formatCode>0</c:formatCode>
                <c:ptCount val="8"/>
                <c:pt idx="0">
                  <c:v>0</c:v>
                </c:pt>
                <c:pt idx="1">
                  <c:v>14</c:v>
                </c:pt>
                <c:pt idx="2">
                  <c:v>22</c:v>
                </c:pt>
                <c:pt idx="3">
                  <c:v>34</c:v>
                </c:pt>
                <c:pt idx="4">
                  <c:v>40</c:v>
                </c:pt>
                <c:pt idx="5">
                  <c:v>55</c:v>
                </c:pt>
                <c:pt idx="6">
                  <c:v>64</c:v>
                </c:pt>
                <c:pt idx="7">
                  <c:v>78</c:v>
                </c:pt>
              </c:numCache>
            </c:numRef>
          </c:xVal>
          <c:yVal>
            <c:numRef>
              <c:f>'Кристалл Судьбы'!$H$256:$O$256</c:f>
              <c:numCache>
                <c:formatCode>General</c:formatCode>
                <c:ptCount val="8"/>
                <c:pt idx="0">
                  <c:v>0</c:v>
                </c:pt>
                <c:pt idx="1">
                  <c:v>4</c:v>
                </c:pt>
                <c:pt idx="2">
                  <c:v>2</c:v>
                </c:pt>
                <c:pt idx="3">
                  <c:v>4</c:v>
                </c:pt>
                <c:pt idx="4">
                  <c:v>0</c:v>
                </c:pt>
                <c:pt idx="5">
                  <c:v>5</c:v>
                </c:pt>
                <c:pt idx="6">
                  <c:v>4</c:v>
                </c:pt>
                <c:pt idx="7">
                  <c:v>8</c:v>
                </c:pt>
              </c:numCache>
            </c:numRef>
          </c:yVal>
          <c:smooth val="0"/>
          <c:extLst>
            <c:ext xmlns:c16="http://schemas.microsoft.com/office/drawing/2014/chart" uri="{C3380CC4-5D6E-409C-BE32-E72D297353CC}">
              <c16:uniqueId val="{00000000-987F-4638-AB3C-498AC836408F}"/>
            </c:ext>
          </c:extLst>
        </c:ser>
        <c:ser>
          <c:idx val="4"/>
          <c:order val="1"/>
          <c:tx>
            <c:v>Уровень Комфорта</c:v>
          </c:tx>
          <c:spPr>
            <a:ln w="19050" cap="rnd">
              <a:solidFill>
                <a:srgbClr val="FFC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2-987F-4638-AB3C-498AC836408F}"/>
                </c:ext>
              </c:extLst>
            </c:dLbl>
            <c:dLbl>
              <c:idx val="1"/>
              <c:delete val="1"/>
              <c:extLst>
                <c:ext xmlns:c15="http://schemas.microsoft.com/office/drawing/2012/chart" uri="{CE6537A1-D6FC-4f65-9D91-7224C49458BB}"/>
                <c:ext xmlns:c16="http://schemas.microsoft.com/office/drawing/2014/chart" uri="{C3380CC4-5D6E-409C-BE32-E72D297353CC}">
                  <c16:uniqueId val="{00000003-987F-4638-AB3C-498AC836408F}"/>
                </c:ext>
              </c:extLst>
            </c:dLbl>
            <c:dLbl>
              <c:idx val="2"/>
              <c:delete val="1"/>
              <c:extLst>
                <c:ext xmlns:c15="http://schemas.microsoft.com/office/drawing/2012/chart" uri="{CE6537A1-D6FC-4f65-9D91-7224C49458BB}"/>
                <c:ext xmlns:c16="http://schemas.microsoft.com/office/drawing/2014/chart" uri="{C3380CC4-5D6E-409C-BE32-E72D297353CC}">
                  <c16:uniqueId val="{00000004-987F-4638-AB3C-498AC836408F}"/>
                </c:ext>
              </c:extLst>
            </c:dLbl>
            <c:dLbl>
              <c:idx val="3"/>
              <c:delete val="1"/>
              <c:extLst>
                <c:ext xmlns:c15="http://schemas.microsoft.com/office/drawing/2012/chart" uri="{CE6537A1-D6FC-4f65-9D91-7224C49458BB}"/>
                <c:ext xmlns:c16="http://schemas.microsoft.com/office/drawing/2014/chart" uri="{C3380CC4-5D6E-409C-BE32-E72D297353CC}">
                  <c16:uniqueId val="{00000005-987F-4638-AB3C-498AC836408F}"/>
                </c:ext>
              </c:extLst>
            </c:dLbl>
            <c:dLbl>
              <c:idx val="4"/>
              <c:delete val="1"/>
              <c:extLst>
                <c:ext xmlns:c15="http://schemas.microsoft.com/office/drawing/2012/chart" uri="{CE6537A1-D6FC-4f65-9D91-7224C49458BB}"/>
                <c:ext xmlns:c16="http://schemas.microsoft.com/office/drawing/2014/chart" uri="{C3380CC4-5D6E-409C-BE32-E72D297353CC}">
                  <c16:uniqueId val="{00000006-987F-4638-AB3C-498AC836408F}"/>
                </c:ext>
              </c:extLst>
            </c:dLbl>
            <c:dLbl>
              <c:idx val="5"/>
              <c:delete val="1"/>
              <c:extLst>
                <c:ext xmlns:c15="http://schemas.microsoft.com/office/drawing/2012/chart" uri="{CE6537A1-D6FC-4f65-9D91-7224C49458BB}"/>
                <c:ext xmlns:c16="http://schemas.microsoft.com/office/drawing/2014/chart" uri="{C3380CC4-5D6E-409C-BE32-E72D297353CC}">
                  <c16:uniqueId val="{00000007-987F-4638-AB3C-498AC836408F}"/>
                </c:ext>
              </c:extLst>
            </c:dLbl>
            <c:dLbl>
              <c:idx val="6"/>
              <c:delete val="1"/>
              <c:extLst>
                <c:ext xmlns:c15="http://schemas.microsoft.com/office/drawing/2012/chart" uri="{CE6537A1-D6FC-4f65-9D91-7224C49458BB}"/>
                <c:ext xmlns:c16="http://schemas.microsoft.com/office/drawing/2014/chart" uri="{C3380CC4-5D6E-409C-BE32-E72D297353CC}">
                  <c16:uniqueId val="{00000008-987F-4638-AB3C-498AC836408F}"/>
                </c:ext>
              </c:extLst>
            </c:dLbl>
            <c:dLbl>
              <c:idx val="7"/>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987F-4638-AB3C-498AC836408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Судьбы'!$H$257:$O$257</c:f>
              <c:numCache>
                <c:formatCode>0</c:formatCode>
                <c:ptCount val="8"/>
                <c:pt idx="0">
                  <c:v>0</c:v>
                </c:pt>
                <c:pt idx="1">
                  <c:v>14</c:v>
                </c:pt>
                <c:pt idx="2">
                  <c:v>22</c:v>
                </c:pt>
                <c:pt idx="3">
                  <c:v>34</c:v>
                </c:pt>
                <c:pt idx="4">
                  <c:v>40</c:v>
                </c:pt>
                <c:pt idx="5">
                  <c:v>55</c:v>
                </c:pt>
                <c:pt idx="6">
                  <c:v>64</c:v>
                </c:pt>
                <c:pt idx="7">
                  <c:v>78</c:v>
                </c:pt>
              </c:numCache>
            </c:numRef>
          </c:xVal>
          <c:yVal>
            <c:numRef>
              <c:f>'Кристалл Судьбы'!$H$258:$O$258</c:f>
              <c:numCache>
                <c:formatCode>General</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A-987F-4638-AB3C-498AC836408F}"/>
            </c:ext>
          </c:extLst>
        </c:ser>
        <c:ser>
          <c:idx val="1"/>
          <c:order val="3"/>
          <c:tx>
            <c:v>Точки Пересечения</c:v>
          </c:tx>
          <c:spPr>
            <a:ln w="25400" cap="rnd">
              <a:noFill/>
              <a:round/>
            </a:ln>
            <a:effectLst/>
          </c:spPr>
          <c:marker>
            <c:symbol val="square"/>
            <c:size val="5"/>
            <c:spPr>
              <a:solidFill>
                <a:schemeClr val="accent2"/>
              </a:solidFill>
              <a:ln w="9525">
                <a:solidFill>
                  <a:schemeClr val="accent2"/>
                </a:solidFill>
              </a:ln>
              <a:effectLst/>
            </c:spPr>
          </c:marker>
          <c:dLbls>
            <c:dLbl>
              <c:idx val="1"/>
              <c:layout>
                <c:manualLayout>
                  <c:x val="-4.1388951766367803E-2"/>
                  <c:y val="-3.8751345532831001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63D-4E29-B6BB-322CAC4E6388}"/>
                </c:ext>
              </c:extLst>
            </c:dLbl>
            <c:dLbl>
              <c:idx val="2"/>
              <c:layout>
                <c:manualLayout>
                  <c:x val="7.0952488742344801E-3"/>
                  <c:y val="-3.0139935414424099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63D-4E29-B6BB-322CAC4E6388}"/>
                </c:ext>
              </c:extLst>
            </c:dLbl>
            <c:dLbl>
              <c:idx val="4"/>
              <c:layout>
                <c:manualLayout>
                  <c:x val="-4.6119117682524101E-2"/>
                  <c:y val="-3.2292787944025798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63D-4E29-B6BB-322CAC4E6388}"/>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'Кристалл Судьбы'!$H$259:$O$259</c:f>
              <c:numCache>
                <c:formatCode>0.00</c:formatCode>
                <c:ptCount val="8"/>
                <c:pt idx="0" formatCode="General">
                  <c:v>0</c:v>
                </c:pt>
                <c:pt idx="1">
                  <c:v>13.5</c:v>
                </c:pt>
                <c:pt idx="2">
                  <c:v>14.571428298950195</c:v>
                </c:pt>
                <c:pt idx="3">
                  <c:v>33.142856597900391</c:v>
                </c:pt>
                <c:pt idx="4">
                  <c:v>34.214286804199219</c:v>
                </c:pt>
                <c:pt idx="5">
                  <c:v>51.571430206298828</c:v>
                </c:pt>
                <c:pt idx="6">
                  <c:v>0</c:v>
                </c:pt>
                <c:pt idx="7">
                  <c:v>0</c:v>
                </c:pt>
              </c:numCache>
            </c:numRef>
          </c:xVal>
          <c:yVal>
            <c:numRef>
              <c:f>'Кристалл Судьбы'!$H$258:$O$258</c:f>
              <c:numCache>
                <c:formatCode>General</c:formatCode>
                <c:ptCount val="8"/>
                <c:pt idx="0">
                  <c:v>3.8571428571428572</c:v>
                </c:pt>
                <c:pt idx="1">
                  <c:v>3.8571428571428572</c:v>
                </c:pt>
                <c:pt idx="2">
                  <c:v>3.8571428571428572</c:v>
                </c:pt>
                <c:pt idx="3">
                  <c:v>3.8571428571428572</c:v>
                </c:pt>
                <c:pt idx="4">
                  <c:v>3.8571428571428572</c:v>
                </c:pt>
                <c:pt idx="5">
                  <c:v>3.8571428571428572</c:v>
                </c:pt>
                <c:pt idx="6">
                  <c:v>3.8571428571428572</c:v>
                </c:pt>
                <c:pt idx="7">
                  <c:v>3.8571428571428572</c:v>
                </c:pt>
              </c:numCache>
            </c:numRef>
          </c:yVal>
          <c:smooth val="0"/>
          <c:extLst>
            <c:ext xmlns:c16="http://schemas.microsoft.com/office/drawing/2014/chart" uri="{C3380CC4-5D6E-409C-BE32-E72D297353CC}">
              <c16:uniqueId val="{00000000-863D-4E29-B6BB-322CAC4E6388}"/>
            </c:ext>
          </c:extLst>
        </c:ser>
        <c:dLbls>
          <c:showLegendKey val="0"/>
          <c:showVal val="0"/>
          <c:showCatName val="0"/>
          <c:showSerName val="0"/>
          <c:showPercent val="0"/>
          <c:showBubbleSize val="0"/>
        </c:dLbls>
        <c:axId val="32444800"/>
        <c:axId val="32446720"/>
      </c:scatterChart>
      <c:scatterChart>
        <c:scatterStyle val="lineMarker"/>
        <c:varyColors val="0"/>
        <c:ser>
          <c:idx val="2"/>
          <c:order val="2"/>
          <c:tx>
            <c:v>Возраст</c:v>
          </c:tx>
          <c:spPr>
            <a:ln w="19050" cap="rnd">
              <a:solidFill>
                <a:srgbClr val="FF0000"/>
              </a:solidFill>
              <a:prstDash val="dash"/>
              <a:round/>
            </a:ln>
            <a:effectLst/>
          </c:spPr>
          <c:marker>
            <c:symbol val="none"/>
          </c:marker>
          <c:dLbls>
            <c:dLbl>
              <c:idx val="0"/>
              <c:layout>
                <c:manualLayout>
                  <c:x val="-3.3540372670807499E-2"/>
                  <c:y val="-0.3702906350914960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ru-RU"/>
                </a:p>
              </c:txPr>
              <c:showLegendKey val="0"/>
              <c:showVal val="0"/>
              <c:showCatName val="1"/>
              <c:showSerName val="1"/>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B-987F-4638-AB3C-498AC836408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'Кристалл Судьбы'!$V$9</c:f>
              <c:numCache>
                <c:formatCode>General</c:formatCode>
                <c:ptCount val="1"/>
                <c:pt idx="0">
                  <c:v>33</c:v>
                </c:pt>
              </c:numCache>
            </c:numRef>
          </c:xVal>
          <c:yVal>
            <c:numLit>
              <c:formatCode>General</c:formatCode>
              <c:ptCount val="1"/>
              <c:pt idx="0">
                <c:v>1</c:v>
              </c:pt>
            </c:numLit>
          </c:yVal>
          <c:smooth val="0"/>
          <c:extLst>
            <c:ext xmlns:c16="http://schemas.microsoft.com/office/drawing/2014/chart" uri="{C3380CC4-5D6E-409C-BE32-E72D297353CC}">
              <c16:uniqueId val="{0000000C-987F-4638-AB3C-498AC836408F}"/>
            </c:ext>
          </c:extLst>
        </c:ser>
        <c:dLbls>
          <c:showLegendKey val="0"/>
          <c:showVal val="0"/>
          <c:showCatName val="0"/>
          <c:showSerName val="0"/>
          <c:showPercent val="0"/>
          <c:showBubbleSize val="0"/>
        </c:dLbls>
        <c:axId val="32458624"/>
        <c:axId val="32457088"/>
      </c:scatterChart>
      <c:valAx>
        <c:axId val="324448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Возраст</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2446720"/>
        <c:crosses val="autoZero"/>
        <c:crossBetween val="midCat"/>
      </c:valAx>
      <c:valAx>
        <c:axId val="324467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2444800"/>
        <c:crosses val="autoZero"/>
        <c:crossBetween val="midCat"/>
      </c:valAx>
      <c:valAx>
        <c:axId val="32457088"/>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2458624"/>
        <c:crosses val="max"/>
        <c:crossBetween val="midCat"/>
      </c:valAx>
      <c:valAx>
        <c:axId val="32458624"/>
        <c:scaling>
          <c:orientation val="minMax"/>
        </c:scaling>
        <c:delete val="1"/>
        <c:axPos val="b"/>
        <c:numFmt formatCode="General" sourceLinked="1"/>
        <c:majorTickMark val="out"/>
        <c:minorTickMark val="none"/>
        <c:tickLblPos val="nextTo"/>
        <c:crossAx val="324570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Личной жизни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Партнер 1</c:v>
          </c:tx>
          <c:spPr>
            <a:ln w="19050"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Совместимость!$B$102:$I$102</c:f>
              <c:numCache>
                <c:formatCode>0</c:formatCode>
                <c:ptCount val="8"/>
                <c:pt idx="0" formatCode="General">
                  <c:v>1972</c:v>
                </c:pt>
                <c:pt idx="1">
                  <c:v>1984</c:v>
                </c:pt>
                <c:pt idx="2">
                  <c:v>1993</c:v>
                </c:pt>
                <c:pt idx="3">
                  <c:v>2008</c:v>
                </c:pt>
                <c:pt idx="4">
                  <c:v>2021</c:v>
                </c:pt>
                <c:pt idx="5">
                  <c:v>2024</c:v>
                </c:pt>
                <c:pt idx="6">
                  <c:v>2032</c:v>
                </c:pt>
                <c:pt idx="7">
                  <c:v>2042</c:v>
                </c:pt>
              </c:numCache>
            </c:numRef>
          </c:xVal>
          <c:yVal>
            <c:numRef>
              <c:f>Совместимость!$B$100:$I$100</c:f>
              <c:numCache>
                <c:formatCode>General</c:formatCode>
                <c:ptCount val="8"/>
                <c:pt idx="0">
                  <c:v>0</c:v>
                </c:pt>
                <c:pt idx="1">
                  <c:v>2</c:v>
                </c:pt>
                <c:pt idx="2">
                  <c:v>1</c:v>
                </c:pt>
                <c:pt idx="3">
                  <c:v>6</c:v>
                </c:pt>
                <c:pt idx="4">
                  <c:v>9</c:v>
                </c:pt>
                <c:pt idx="5">
                  <c:v>2</c:v>
                </c:pt>
                <c:pt idx="6">
                  <c:v>0</c:v>
                </c:pt>
                <c:pt idx="7">
                  <c:v>0</c:v>
                </c:pt>
              </c:numCache>
            </c:numRef>
          </c:yVal>
          <c:smooth val="0"/>
          <c:extLst>
            <c:ext xmlns:c16="http://schemas.microsoft.com/office/drawing/2014/chart" uri="{C3380CC4-5D6E-409C-BE32-E72D297353CC}">
              <c16:uniqueId val="{00000000-AB28-4DCF-B6BE-05BC0B8A9503}"/>
            </c:ext>
          </c:extLst>
        </c:ser>
        <c:ser>
          <c:idx val="1"/>
          <c:order val="1"/>
          <c:tx>
            <c:v>Партнер 2</c:v>
          </c:tx>
          <c:spPr>
            <a:ln w="19050"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Совместимость!$B$109:$I$109</c:f>
              <c:numCache>
                <c:formatCode>0</c:formatCode>
                <c:ptCount val="8"/>
                <c:pt idx="0" formatCode="General">
                  <c:v>1985</c:v>
                </c:pt>
                <c:pt idx="1">
                  <c:v>1997</c:v>
                </c:pt>
                <c:pt idx="2">
                  <c:v>2012</c:v>
                </c:pt>
                <c:pt idx="3">
                  <c:v>2018</c:v>
                </c:pt>
                <c:pt idx="4">
                  <c:v>2034</c:v>
                </c:pt>
                <c:pt idx="5">
                  <c:v>2038</c:v>
                </c:pt>
                <c:pt idx="6">
                  <c:v>2045</c:v>
                </c:pt>
                <c:pt idx="7">
                  <c:v>2055</c:v>
                </c:pt>
              </c:numCache>
            </c:numRef>
          </c:xVal>
          <c:yVal>
            <c:numRef>
              <c:f>Совместимость!$B$107:$I$107</c:f>
              <c:numCache>
                <c:formatCode>General</c:formatCode>
                <c:ptCount val="8"/>
                <c:pt idx="0">
                  <c:v>0</c:v>
                </c:pt>
                <c:pt idx="1">
                  <c:v>2</c:v>
                </c:pt>
                <c:pt idx="2">
                  <c:v>7</c:v>
                </c:pt>
                <c:pt idx="3">
                  <c:v>3</c:v>
                </c:pt>
                <c:pt idx="4">
                  <c:v>9</c:v>
                </c:pt>
                <c:pt idx="5">
                  <c:v>3</c:v>
                </c:pt>
                <c:pt idx="6">
                  <c:v>0</c:v>
                </c:pt>
                <c:pt idx="7">
                  <c:v>0</c:v>
                </c:pt>
              </c:numCache>
            </c:numRef>
          </c:yVal>
          <c:smooth val="0"/>
          <c:extLst>
            <c:ext xmlns:c16="http://schemas.microsoft.com/office/drawing/2014/chart" uri="{C3380CC4-5D6E-409C-BE32-E72D297353CC}">
              <c16:uniqueId val="{00000001-AB28-4DCF-B6BE-05BC0B8A9503}"/>
            </c:ext>
          </c:extLst>
        </c:ser>
        <c:dLbls>
          <c:dLblPos val="t"/>
          <c:showLegendKey val="0"/>
          <c:showVal val="1"/>
          <c:showCatName val="0"/>
          <c:showSerName val="0"/>
          <c:showPercent val="0"/>
          <c:showBubbleSize val="0"/>
        </c:dLbls>
        <c:axId val="70390528"/>
        <c:axId val="70392448"/>
      </c:scatterChart>
      <c:scatterChart>
        <c:scatterStyle val="lineMarker"/>
        <c:varyColors val="0"/>
        <c:ser>
          <c:idx val="2"/>
          <c:order val="2"/>
          <c:tx>
            <c:v>Текущий Год</c:v>
          </c:tx>
          <c:spPr>
            <a:ln w="19050" cap="rnd">
              <a:solidFill>
                <a:srgbClr val="FF0000"/>
              </a:solidFill>
              <a:prstDash val="dash"/>
              <a:round/>
            </a:ln>
            <a:effectLst/>
          </c:spPr>
          <c:marker>
            <c:symbol val="none"/>
          </c:marker>
          <c:dLbls>
            <c:dLbl>
              <c:idx val="0"/>
              <c:layout>
                <c:manualLayout>
                  <c:x val="-2.3892191957762699E-2"/>
                  <c:y val="-0.3596241816169000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B28-4DCF-B6BE-05BC0B8A950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Совместимость!$D$94</c:f>
              <c:numCache>
                <c:formatCode>General</c:formatCode>
                <c:ptCount val="1"/>
                <c:pt idx="0">
                  <c:v>2022</c:v>
                </c:pt>
              </c:numCache>
            </c:numRef>
          </c:xVal>
          <c:yVal>
            <c:numLit>
              <c:formatCode>General</c:formatCode>
              <c:ptCount val="1"/>
              <c:pt idx="0">
                <c:v>1</c:v>
              </c:pt>
            </c:numLit>
          </c:yVal>
          <c:smooth val="0"/>
          <c:extLst>
            <c:ext xmlns:c16="http://schemas.microsoft.com/office/drawing/2014/chart" uri="{C3380CC4-5D6E-409C-BE32-E72D297353CC}">
              <c16:uniqueId val="{00000003-AB28-4DCF-B6BE-05BC0B8A9503}"/>
            </c:ext>
          </c:extLst>
        </c:ser>
        <c:dLbls>
          <c:showLegendKey val="0"/>
          <c:showVal val="0"/>
          <c:showCatName val="0"/>
          <c:showSerName val="0"/>
          <c:showPercent val="0"/>
          <c:showBubbleSize val="0"/>
        </c:dLbls>
        <c:axId val="70400256"/>
        <c:axId val="70398720"/>
      </c:scatterChart>
      <c:valAx>
        <c:axId val="703905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Года</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0392448"/>
        <c:crosses val="autoZero"/>
        <c:crossBetween val="midCat"/>
      </c:valAx>
      <c:valAx>
        <c:axId val="70392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0390528"/>
        <c:crosses val="autoZero"/>
        <c:crossBetween val="midCat"/>
      </c:valAx>
      <c:valAx>
        <c:axId val="70398720"/>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0400256"/>
        <c:crosses val="max"/>
        <c:crossBetween val="midCat"/>
      </c:valAx>
      <c:valAx>
        <c:axId val="70400256"/>
        <c:scaling>
          <c:orientation val="minMax"/>
        </c:scaling>
        <c:delete val="1"/>
        <c:axPos val="b"/>
        <c:numFmt formatCode="General" sourceLinked="1"/>
        <c:majorTickMark val="out"/>
        <c:minorTickMark val="none"/>
        <c:tickLblPos val="nextTo"/>
        <c:crossAx val="7039872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Финансового</a:t>
            </a:r>
            <a:r>
              <a:rPr lang="ru-RU" baseline="0"/>
              <a:t> Потока</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Партнер 1</c:v>
          </c:tx>
          <c:spPr>
            <a:ln w="19050" cap="rnd">
              <a:solidFill>
                <a:schemeClr val="accent1"/>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Совместимость!$B$131:$I$131</c:f>
              <c:numCache>
                <c:formatCode>0</c:formatCode>
                <c:ptCount val="8"/>
                <c:pt idx="0" formatCode="General">
                  <c:v>1972</c:v>
                </c:pt>
                <c:pt idx="1">
                  <c:v>1982</c:v>
                </c:pt>
                <c:pt idx="2">
                  <c:v>2000</c:v>
                </c:pt>
                <c:pt idx="3">
                  <c:v>2011</c:v>
                </c:pt>
                <c:pt idx="4">
                  <c:v>2013</c:v>
                </c:pt>
                <c:pt idx="5">
                  <c:v>2030</c:v>
                </c:pt>
                <c:pt idx="6">
                  <c:v>2035</c:v>
                </c:pt>
                <c:pt idx="7">
                  <c:v>2045</c:v>
                </c:pt>
              </c:numCache>
            </c:numRef>
          </c:xVal>
          <c:yVal>
            <c:numRef>
              <c:f>Совместимость!$B$129:$I$129</c:f>
              <c:numCache>
                <c:formatCode>General</c:formatCode>
                <c:ptCount val="8"/>
                <c:pt idx="0">
                  <c:v>0</c:v>
                </c:pt>
                <c:pt idx="1">
                  <c:v>0</c:v>
                </c:pt>
                <c:pt idx="2">
                  <c:v>8</c:v>
                </c:pt>
                <c:pt idx="3">
                  <c:v>9</c:v>
                </c:pt>
                <c:pt idx="4">
                  <c:v>1</c:v>
                </c:pt>
                <c:pt idx="5">
                  <c:v>8</c:v>
                </c:pt>
                <c:pt idx="6">
                  <c:v>3</c:v>
                </c:pt>
                <c:pt idx="7">
                  <c:v>3</c:v>
                </c:pt>
              </c:numCache>
            </c:numRef>
          </c:yVal>
          <c:smooth val="0"/>
          <c:extLst>
            <c:ext xmlns:c16="http://schemas.microsoft.com/office/drawing/2014/chart" uri="{C3380CC4-5D6E-409C-BE32-E72D297353CC}">
              <c16:uniqueId val="{00000000-F40C-4C7E-A974-D31AAFA3ED5B}"/>
            </c:ext>
          </c:extLst>
        </c:ser>
        <c:ser>
          <c:idx val="1"/>
          <c:order val="1"/>
          <c:tx>
            <c:v>Партнер 2</c:v>
          </c:tx>
          <c:spPr>
            <a:ln w="19050"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Совместимость!$B$140:$I$140</c:f>
              <c:numCache>
                <c:formatCode>0</c:formatCode>
                <c:ptCount val="8"/>
                <c:pt idx="0" formatCode="General">
                  <c:v>1985</c:v>
                </c:pt>
                <c:pt idx="1">
                  <c:v>2000</c:v>
                </c:pt>
                <c:pt idx="2">
                  <c:v>2007</c:v>
                </c:pt>
                <c:pt idx="3">
                  <c:v>2018</c:v>
                </c:pt>
                <c:pt idx="4">
                  <c:v>2030</c:v>
                </c:pt>
                <c:pt idx="5">
                  <c:v>2041</c:v>
                </c:pt>
                <c:pt idx="6">
                  <c:v>2047</c:v>
                </c:pt>
                <c:pt idx="7">
                  <c:v>2058</c:v>
                </c:pt>
              </c:numCache>
            </c:numRef>
          </c:xVal>
          <c:yVal>
            <c:numRef>
              <c:f>Совместимость!$B$138:$I$138</c:f>
              <c:numCache>
                <c:formatCode>General</c:formatCode>
                <c:ptCount val="8"/>
                <c:pt idx="0">
                  <c:v>0</c:v>
                </c:pt>
                <c:pt idx="1">
                  <c:v>5</c:v>
                </c:pt>
                <c:pt idx="2">
                  <c:v>2</c:v>
                </c:pt>
                <c:pt idx="3">
                  <c:v>3</c:v>
                </c:pt>
                <c:pt idx="4">
                  <c:v>5</c:v>
                </c:pt>
                <c:pt idx="5">
                  <c:v>6</c:v>
                </c:pt>
                <c:pt idx="6">
                  <c:v>2</c:v>
                </c:pt>
                <c:pt idx="7">
                  <c:v>3</c:v>
                </c:pt>
              </c:numCache>
            </c:numRef>
          </c:yVal>
          <c:smooth val="0"/>
          <c:extLst>
            <c:ext xmlns:c16="http://schemas.microsoft.com/office/drawing/2014/chart" uri="{C3380CC4-5D6E-409C-BE32-E72D297353CC}">
              <c16:uniqueId val="{00000001-F40C-4C7E-A974-D31AAFA3ED5B}"/>
            </c:ext>
          </c:extLst>
        </c:ser>
        <c:dLbls>
          <c:dLblPos val="t"/>
          <c:showLegendKey val="0"/>
          <c:showVal val="1"/>
          <c:showCatName val="0"/>
          <c:showSerName val="0"/>
          <c:showPercent val="0"/>
          <c:showBubbleSize val="0"/>
        </c:dLbls>
        <c:axId val="35422976"/>
        <c:axId val="35424896"/>
      </c:scatterChart>
      <c:scatterChart>
        <c:scatterStyle val="lineMarker"/>
        <c:varyColors val="0"/>
        <c:ser>
          <c:idx val="2"/>
          <c:order val="2"/>
          <c:tx>
            <c:v>Текущий Год</c:v>
          </c:tx>
          <c:spPr>
            <a:ln w="19050" cap="rnd">
              <a:solidFill>
                <a:srgbClr val="FF0000"/>
              </a:solidFill>
              <a:prstDash val="dash"/>
              <a:round/>
            </a:ln>
            <a:effectLst/>
          </c:spPr>
          <c:marker>
            <c:symbol val="none"/>
          </c:marker>
          <c:dLbls>
            <c:dLbl>
              <c:idx val="0"/>
              <c:layout>
                <c:manualLayout>
                  <c:x val="-2.3892191957762699E-2"/>
                  <c:y val="-0.35962418161690002"/>
                </c:manualLayout>
              </c:layout>
              <c:spPr>
                <a:noFill/>
                <a:ln>
                  <a:solidFill>
                    <a:schemeClr val="bg2"/>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ru-RU"/>
                </a:p>
              </c:txPr>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40C-4C7E-A974-D31AAFA3ED5B}"/>
                </c:ext>
              </c:extLst>
            </c:dLbl>
            <c:spPr>
              <a:noFill/>
              <a:ln>
                <a:solidFill>
                  <a:schemeClr val="bg2"/>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ru-RU"/>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Совместимость!$D$94</c:f>
              <c:numCache>
                <c:formatCode>General</c:formatCode>
                <c:ptCount val="1"/>
                <c:pt idx="0">
                  <c:v>2022</c:v>
                </c:pt>
              </c:numCache>
            </c:numRef>
          </c:xVal>
          <c:yVal>
            <c:numLit>
              <c:formatCode>General</c:formatCode>
              <c:ptCount val="1"/>
              <c:pt idx="0">
                <c:v>1</c:v>
              </c:pt>
            </c:numLit>
          </c:yVal>
          <c:smooth val="0"/>
          <c:extLst>
            <c:ext xmlns:c16="http://schemas.microsoft.com/office/drawing/2014/chart" uri="{C3380CC4-5D6E-409C-BE32-E72D297353CC}">
              <c16:uniqueId val="{00000003-F40C-4C7E-A974-D31AAFA3ED5B}"/>
            </c:ext>
          </c:extLst>
        </c:ser>
        <c:dLbls>
          <c:showLegendKey val="0"/>
          <c:showVal val="0"/>
          <c:showCatName val="0"/>
          <c:showSerName val="0"/>
          <c:showPercent val="0"/>
          <c:showBubbleSize val="0"/>
        </c:dLbls>
        <c:axId val="35432704"/>
        <c:axId val="35431168"/>
      </c:scatterChart>
      <c:valAx>
        <c:axId val="354229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Года</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5424896"/>
        <c:crosses val="autoZero"/>
        <c:crossBetween val="midCat"/>
      </c:valAx>
      <c:valAx>
        <c:axId val="35424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5422976"/>
        <c:crosses val="autoZero"/>
        <c:crossBetween val="midCat"/>
      </c:valAx>
      <c:valAx>
        <c:axId val="35431168"/>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5432704"/>
        <c:crosses val="max"/>
        <c:crossBetween val="midCat"/>
      </c:valAx>
      <c:valAx>
        <c:axId val="35432704"/>
        <c:scaling>
          <c:orientation val="minMax"/>
        </c:scaling>
        <c:delete val="1"/>
        <c:axPos val="b"/>
        <c:numFmt formatCode="General" sourceLinked="1"/>
        <c:majorTickMark val="out"/>
        <c:minorTickMark val="none"/>
        <c:tickLblPos val="nextTo"/>
        <c:crossAx val="3543116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Самореализации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manualLayout>
          <c:layoutTarget val="inner"/>
          <c:xMode val="edge"/>
          <c:yMode val="edge"/>
          <c:x val="5.9994928755074402E-2"/>
          <c:y val="9.2720430990666305E-2"/>
          <c:w val="0.78044542254074101"/>
          <c:h val="0.81152171224930003"/>
        </c:manualLayout>
      </c:layout>
      <c:scatterChart>
        <c:scatterStyle val="lineMarker"/>
        <c:varyColors val="0"/>
        <c:ser>
          <c:idx val="0"/>
          <c:order val="0"/>
          <c:tx>
            <c:v>Партнер 1</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Совместимость!$B$162:$I$162</c:f>
              <c:numCache>
                <c:formatCode>0</c:formatCode>
                <c:ptCount val="8"/>
                <c:pt idx="0" formatCode="General">
                  <c:v>1972</c:v>
                </c:pt>
                <c:pt idx="1">
                  <c:v>1987</c:v>
                </c:pt>
                <c:pt idx="2">
                  <c:v>1992</c:v>
                </c:pt>
                <c:pt idx="3">
                  <c:v>2004</c:v>
                </c:pt>
                <c:pt idx="4">
                  <c:v>2016</c:v>
                </c:pt>
                <c:pt idx="5">
                  <c:v>2028</c:v>
                </c:pt>
                <c:pt idx="6">
                  <c:v>2037</c:v>
                </c:pt>
                <c:pt idx="7">
                  <c:v>2048</c:v>
                </c:pt>
              </c:numCache>
            </c:numRef>
          </c:xVal>
          <c:yVal>
            <c:numRef>
              <c:f>Совместимость!$B$160:$I$160</c:f>
              <c:numCache>
                <c:formatCode>General</c:formatCode>
                <c:ptCount val="8"/>
                <c:pt idx="0">
                  <c:v>0</c:v>
                </c:pt>
                <c:pt idx="1">
                  <c:v>5</c:v>
                </c:pt>
                <c:pt idx="2">
                  <c:v>0</c:v>
                </c:pt>
                <c:pt idx="3">
                  <c:v>2</c:v>
                </c:pt>
                <c:pt idx="4">
                  <c:v>4</c:v>
                </c:pt>
                <c:pt idx="5">
                  <c:v>6</c:v>
                </c:pt>
                <c:pt idx="6">
                  <c:v>5</c:v>
                </c:pt>
                <c:pt idx="7">
                  <c:v>6</c:v>
                </c:pt>
              </c:numCache>
            </c:numRef>
          </c:yVal>
          <c:smooth val="0"/>
          <c:extLst>
            <c:ext xmlns:c16="http://schemas.microsoft.com/office/drawing/2014/chart" uri="{C3380CC4-5D6E-409C-BE32-E72D297353CC}">
              <c16:uniqueId val="{00000000-F40C-4C7E-A974-D31AAFA3ED5B}"/>
            </c:ext>
          </c:extLst>
        </c:ser>
        <c:ser>
          <c:idx val="1"/>
          <c:order val="1"/>
          <c:tx>
            <c:v>Партнер 2</c:v>
          </c:tx>
          <c:spPr>
            <a:ln w="19050" cap="rnd">
              <a:solidFill>
                <a:srgbClr val="7030A0"/>
              </a:solidFill>
              <a:round/>
            </a:ln>
            <a:effectLst/>
          </c:spPr>
          <c:marker>
            <c:symbol val="circle"/>
            <c:size val="5"/>
            <c:spPr>
              <a:solidFill>
                <a:srgbClr val="7030A0"/>
              </a:solidFill>
              <a:ln w="9525">
                <a:solidFill>
                  <a:srgbClr val="7030A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Совместимость!$B$168:$I$168</c:f>
              <c:numCache>
                <c:formatCode>0</c:formatCode>
                <c:ptCount val="8"/>
                <c:pt idx="0" formatCode="General">
                  <c:v>1985</c:v>
                </c:pt>
                <c:pt idx="1">
                  <c:v>1999</c:v>
                </c:pt>
                <c:pt idx="2">
                  <c:v>2013</c:v>
                </c:pt>
                <c:pt idx="3">
                  <c:v>2016</c:v>
                </c:pt>
                <c:pt idx="4">
                  <c:v>2034</c:v>
                </c:pt>
                <c:pt idx="5">
                  <c:v>2040</c:v>
                </c:pt>
                <c:pt idx="6">
                  <c:v>2051</c:v>
                </c:pt>
                <c:pt idx="7">
                  <c:v>2063</c:v>
                </c:pt>
              </c:numCache>
            </c:numRef>
          </c:xVal>
          <c:yVal>
            <c:numRef>
              <c:f>Совместимость!$B$166:$I$166</c:f>
              <c:numCache>
                <c:formatCode>General</c:formatCode>
                <c:ptCount val="8"/>
                <c:pt idx="0">
                  <c:v>0</c:v>
                </c:pt>
                <c:pt idx="1">
                  <c:v>4</c:v>
                </c:pt>
                <c:pt idx="2">
                  <c:v>8</c:v>
                </c:pt>
                <c:pt idx="3">
                  <c:v>1</c:v>
                </c:pt>
                <c:pt idx="4">
                  <c:v>9</c:v>
                </c:pt>
                <c:pt idx="5">
                  <c:v>5</c:v>
                </c:pt>
                <c:pt idx="6">
                  <c:v>6</c:v>
                </c:pt>
                <c:pt idx="7">
                  <c:v>8</c:v>
                </c:pt>
              </c:numCache>
            </c:numRef>
          </c:yVal>
          <c:smooth val="0"/>
          <c:extLst>
            <c:ext xmlns:c16="http://schemas.microsoft.com/office/drawing/2014/chart" uri="{C3380CC4-5D6E-409C-BE32-E72D297353CC}">
              <c16:uniqueId val="{00000001-F40C-4C7E-A974-D31AAFA3ED5B}"/>
            </c:ext>
          </c:extLst>
        </c:ser>
        <c:dLbls>
          <c:dLblPos val="t"/>
          <c:showLegendKey val="0"/>
          <c:showVal val="1"/>
          <c:showCatName val="0"/>
          <c:showSerName val="0"/>
          <c:showPercent val="0"/>
          <c:showBubbleSize val="0"/>
        </c:dLbls>
        <c:axId val="35226368"/>
        <c:axId val="35228288"/>
      </c:scatterChart>
      <c:scatterChart>
        <c:scatterStyle val="lineMarker"/>
        <c:varyColors val="0"/>
        <c:ser>
          <c:idx val="2"/>
          <c:order val="2"/>
          <c:tx>
            <c:v>Текущий Год</c:v>
          </c:tx>
          <c:spPr>
            <a:ln w="19050" cap="rnd">
              <a:solidFill>
                <a:srgbClr val="FF0000"/>
              </a:solidFill>
              <a:prstDash val="dash"/>
              <a:round/>
            </a:ln>
            <a:effectLst/>
          </c:spPr>
          <c:marker>
            <c:symbol val="none"/>
          </c:marker>
          <c:dLbls>
            <c:dLbl>
              <c:idx val="0"/>
              <c:layout>
                <c:manualLayout>
                  <c:x val="-2.3892191957762699E-2"/>
                  <c:y val="-0.35962418161690002"/>
                </c:manualLayout>
              </c:layout>
              <c:spPr>
                <a:noFill/>
                <a:ln>
                  <a:solidFill>
                    <a:schemeClr val="bg2"/>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ru-RU"/>
                </a:p>
              </c:txPr>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40C-4C7E-A974-D31AAFA3ED5B}"/>
                </c:ext>
              </c:extLst>
            </c:dLbl>
            <c:spPr>
              <a:noFill/>
              <a:ln>
                <a:solidFill>
                  <a:schemeClr val="bg2"/>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ru-RU"/>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Совместимость!$D$94</c:f>
              <c:numCache>
                <c:formatCode>General</c:formatCode>
                <c:ptCount val="1"/>
                <c:pt idx="0">
                  <c:v>2022</c:v>
                </c:pt>
              </c:numCache>
            </c:numRef>
          </c:xVal>
          <c:yVal>
            <c:numLit>
              <c:formatCode>General</c:formatCode>
              <c:ptCount val="1"/>
              <c:pt idx="0">
                <c:v>1</c:v>
              </c:pt>
            </c:numLit>
          </c:yVal>
          <c:smooth val="0"/>
          <c:extLst>
            <c:ext xmlns:c16="http://schemas.microsoft.com/office/drawing/2014/chart" uri="{C3380CC4-5D6E-409C-BE32-E72D297353CC}">
              <c16:uniqueId val="{00000003-F40C-4C7E-A974-D31AAFA3ED5B}"/>
            </c:ext>
          </c:extLst>
        </c:ser>
        <c:dLbls>
          <c:showLegendKey val="0"/>
          <c:showVal val="0"/>
          <c:showCatName val="0"/>
          <c:showSerName val="0"/>
          <c:showPercent val="0"/>
          <c:showBubbleSize val="0"/>
        </c:dLbls>
        <c:axId val="35252480"/>
        <c:axId val="35250944"/>
      </c:scatterChart>
      <c:valAx>
        <c:axId val="3522636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Года</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5228288"/>
        <c:crosses val="autoZero"/>
        <c:crossBetween val="midCat"/>
      </c:valAx>
      <c:valAx>
        <c:axId val="35228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5226368"/>
        <c:crosses val="autoZero"/>
        <c:crossBetween val="midCat"/>
      </c:valAx>
      <c:valAx>
        <c:axId val="35250944"/>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5252480"/>
        <c:crosses val="max"/>
        <c:crossBetween val="midCat"/>
      </c:valAx>
      <c:valAx>
        <c:axId val="35252480"/>
        <c:scaling>
          <c:orientation val="minMax"/>
        </c:scaling>
        <c:delete val="1"/>
        <c:axPos val="b"/>
        <c:numFmt formatCode="General" sourceLinked="1"/>
        <c:majorTickMark val="out"/>
        <c:minorTickMark val="none"/>
        <c:tickLblPos val="nextTo"/>
        <c:crossAx val="3525094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График Кармы</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tx>
            <c:v>Партнер 1</c:v>
          </c:tx>
          <c:spPr>
            <a:ln w="19050" cap="rnd">
              <a:solidFill>
                <a:srgbClr val="7030A0"/>
              </a:solidFill>
              <a:round/>
            </a:ln>
            <a:effectLst/>
          </c:spPr>
          <c:marker>
            <c:symbol val="circle"/>
            <c:size val="5"/>
            <c:spPr>
              <a:solidFill>
                <a:srgbClr val="7030A0"/>
              </a:solidFill>
              <a:ln w="9525">
                <a:solidFill>
                  <a:srgbClr val="7030A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Совместимость!$B$188:$I$188</c:f>
              <c:numCache>
                <c:formatCode>General</c:formatCode>
                <c:ptCount val="8"/>
                <c:pt idx="0">
                  <c:v>1972</c:v>
                </c:pt>
                <c:pt idx="1">
                  <c:v>1988</c:v>
                </c:pt>
                <c:pt idx="2">
                  <c:v>1997</c:v>
                </c:pt>
                <c:pt idx="3">
                  <c:v>2012</c:v>
                </c:pt>
                <c:pt idx="4">
                  <c:v>2021</c:v>
                </c:pt>
                <c:pt idx="5">
                  <c:v>2034</c:v>
                </c:pt>
                <c:pt idx="6">
                  <c:v>2044</c:v>
                </c:pt>
                <c:pt idx="7">
                  <c:v>2056</c:v>
                </c:pt>
              </c:numCache>
            </c:numRef>
          </c:xVal>
          <c:yVal>
            <c:numRef>
              <c:f>Совместимость!$B$186:$I$186</c:f>
              <c:numCache>
                <c:formatCode>General</c:formatCode>
                <c:ptCount val="8"/>
                <c:pt idx="0">
                  <c:v>0</c:v>
                </c:pt>
                <c:pt idx="1">
                  <c:v>4</c:v>
                </c:pt>
                <c:pt idx="2">
                  <c:v>1</c:v>
                </c:pt>
                <c:pt idx="3">
                  <c:v>4</c:v>
                </c:pt>
                <c:pt idx="4">
                  <c:v>1</c:v>
                </c:pt>
                <c:pt idx="5">
                  <c:v>2</c:v>
                </c:pt>
                <c:pt idx="6">
                  <c:v>0</c:v>
                </c:pt>
                <c:pt idx="7">
                  <c:v>0</c:v>
                </c:pt>
              </c:numCache>
            </c:numRef>
          </c:yVal>
          <c:smooth val="0"/>
          <c:extLst>
            <c:ext xmlns:c16="http://schemas.microsoft.com/office/drawing/2014/chart" uri="{C3380CC4-5D6E-409C-BE32-E72D297353CC}">
              <c16:uniqueId val="{00000000-F40C-4C7E-A974-D31AAFA3ED5B}"/>
            </c:ext>
          </c:extLst>
        </c:ser>
        <c:ser>
          <c:idx val="1"/>
          <c:order val="1"/>
          <c:tx>
            <c:v>Партнер 2</c:v>
          </c:tx>
          <c:spPr>
            <a:ln w="19050" cap="rnd">
              <a:solidFill>
                <a:srgbClr val="C00000"/>
              </a:solidFill>
              <a:round/>
            </a:ln>
            <a:effectLst/>
          </c:spPr>
          <c:marker>
            <c:symbol val="circle"/>
            <c:size val="5"/>
            <c:spPr>
              <a:solidFill>
                <a:srgbClr val="C00000"/>
              </a:solidFill>
              <a:ln w="9525">
                <a:solidFill>
                  <a:srgbClr val="C0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Совместимость!$B$195:$I$195</c:f>
              <c:numCache>
                <c:formatCode>General</c:formatCode>
                <c:ptCount val="8"/>
                <c:pt idx="0">
                  <c:v>1985</c:v>
                </c:pt>
                <c:pt idx="1">
                  <c:v>2002</c:v>
                </c:pt>
                <c:pt idx="2">
                  <c:v>2016</c:v>
                </c:pt>
                <c:pt idx="3">
                  <c:v>2026</c:v>
                </c:pt>
                <c:pt idx="4">
                  <c:v>2039</c:v>
                </c:pt>
                <c:pt idx="5">
                  <c:v>2050</c:v>
                </c:pt>
                <c:pt idx="6">
                  <c:v>2057</c:v>
                </c:pt>
                <c:pt idx="7">
                  <c:v>2069</c:v>
                </c:pt>
              </c:numCache>
            </c:numRef>
          </c:xVal>
          <c:yVal>
            <c:numRef>
              <c:f>Совместимость!$B$193:$I$193</c:f>
              <c:numCache>
                <c:formatCode>General</c:formatCode>
                <c:ptCount val="8"/>
                <c:pt idx="0">
                  <c:v>0</c:v>
                </c:pt>
                <c:pt idx="1">
                  <c:v>5</c:v>
                </c:pt>
                <c:pt idx="2">
                  <c:v>7</c:v>
                </c:pt>
                <c:pt idx="3">
                  <c:v>5</c:v>
                </c:pt>
                <c:pt idx="4">
                  <c:v>6</c:v>
                </c:pt>
                <c:pt idx="5">
                  <c:v>5</c:v>
                </c:pt>
                <c:pt idx="6">
                  <c:v>0</c:v>
                </c:pt>
                <c:pt idx="7">
                  <c:v>0</c:v>
                </c:pt>
              </c:numCache>
            </c:numRef>
          </c:yVal>
          <c:smooth val="0"/>
          <c:extLst>
            <c:ext xmlns:c16="http://schemas.microsoft.com/office/drawing/2014/chart" uri="{C3380CC4-5D6E-409C-BE32-E72D297353CC}">
              <c16:uniqueId val="{00000001-F40C-4C7E-A974-D31AAFA3ED5B}"/>
            </c:ext>
          </c:extLst>
        </c:ser>
        <c:dLbls>
          <c:dLblPos val="t"/>
          <c:showLegendKey val="0"/>
          <c:showVal val="1"/>
          <c:showCatName val="0"/>
          <c:showSerName val="0"/>
          <c:showPercent val="0"/>
          <c:showBubbleSize val="0"/>
        </c:dLbls>
        <c:axId val="35726080"/>
        <c:axId val="35728000"/>
      </c:scatterChart>
      <c:scatterChart>
        <c:scatterStyle val="lineMarker"/>
        <c:varyColors val="0"/>
        <c:ser>
          <c:idx val="2"/>
          <c:order val="2"/>
          <c:tx>
            <c:v>Текущий Год</c:v>
          </c:tx>
          <c:spPr>
            <a:ln w="19050" cap="rnd">
              <a:solidFill>
                <a:srgbClr val="FF0000"/>
              </a:solidFill>
              <a:prstDash val="dash"/>
              <a:round/>
            </a:ln>
            <a:effectLst/>
          </c:spPr>
          <c:marker>
            <c:symbol val="none"/>
          </c:marker>
          <c:dLbls>
            <c:dLbl>
              <c:idx val="0"/>
              <c:layout>
                <c:manualLayout>
                  <c:x val="-2.3892191957762699E-2"/>
                  <c:y val="-0.35962418161690002"/>
                </c:manualLayout>
              </c:layout>
              <c:spPr>
                <a:noFill/>
                <a:ln>
                  <a:solidFill>
                    <a:schemeClr val="bg2"/>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ru-RU"/>
                </a:p>
              </c:txPr>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40C-4C7E-A974-D31AAFA3ED5B}"/>
                </c:ext>
              </c:extLst>
            </c:dLbl>
            <c:spPr>
              <a:noFill/>
              <a:ln>
                <a:solidFill>
                  <a:schemeClr val="bg2"/>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ru-RU"/>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errBars>
            <c:errDir val="y"/>
            <c:errBarType val="both"/>
            <c:errValType val="percentage"/>
            <c:noEndCap val="1"/>
            <c:val val="100"/>
            <c:spPr>
              <a:noFill/>
              <a:ln w="19050" cap="flat" cmpd="sng" algn="ctr">
                <a:solidFill>
                  <a:srgbClr val="FF0000"/>
                </a:solidFill>
                <a:prstDash val="dash"/>
                <a:round/>
              </a:ln>
              <a:effectLst/>
            </c:spPr>
          </c:errBars>
          <c:xVal>
            <c:numRef>
              <c:f>Совместимость!$D$94</c:f>
              <c:numCache>
                <c:formatCode>General</c:formatCode>
                <c:ptCount val="1"/>
                <c:pt idx="0">
                  <c:v>2022</c:v>
                </c:pt>
              </c:numCache>
            </c:numRef>
          </c:xVal>
          <c:yVal>
            <c:numLit>
              <c:formatCode>General</c:formatCode>
              <c:ptCount val="1"/>
              <c:pt idx="0">
                <c:v>1</c:v>
              </c:pt>
            </c:numLit>
          </c:yVal>
          <c:smooth val="0"/>
          <c:extLst>
            <c:ext xmlns:c16="http://schemas.microsoft.com/office/drawing/2014/chart" uri="{C3380CC4-5D6E-409C-BE32-E72D297353CC}">
              <c16:uniqueId val="{00000003-F40C-4C7E-A974-D31AAFA3ED5B}"/>
            </c:ext>
          </c:extLst>
        </c:ser>
        <c:dLbls>
          <c:showLegendKey val="0"/>
          <c:showVal val="0"/>
          <c:showCatName val="0"/>
          <c:showSerName val="0"/>
          <c:showPercent val="0"/>
          <c:showBubbleSize val="0"/>
        </c:dLbls>
        <c:axId val="35731712"/>
        <c:axId val="35730176"/>
      </c:scatterChart>
      <c:valAx>
        <c:axId val="3572608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Года</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5728000"/>
        <c:crosses val="autoZero"/>
        <c:crossBetween val="midCat"/>
      </c:valAx>
      <c:valAx>
        <c:axId val="357280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Сила 0 -9</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5726080"/>
        <c:crosses val="autoZero"/>
        <c:crossBetween val="midCat"/>
      </c:valAx>
      <c:valAx>
        <c:axId val="35730176"/>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5731712"/>
        <c:crosses val="max"/>
        <c:crossBetween val="midCat"/>
      </c:valAx>
      <c:valAx>
        <c:axId val="35731712"/>
        <c:scaling>
          <c:orientation val="minMax"/>
        </c:scaling>
        <c:delete val="1"/>
        <c:axPos val="b"/>
        <c:numFmt formatCode="General" sourceLinked="1"/>
        <c:majorTickMark val="out"/>
        <c:minorTickMark val="none"/>
        <c:tickLblPos val="nextTo"/>
        <c:crossAx val="357301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ru-RU"/>
              <a:t>График</a:t>
            </a:r>
            <a:r>
              <a:rPr lang="ru-RU" baseline="0"/>
              <a:t> Партнерства</a:t>
            </a:r>
            <a:endParaRPr lang="en-US"/>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ru-RU"/>
        </a:p>
      </c:txPr>
    </c:title>
    <c:autoTitleDeleted val="0"/>
    <c:plotArea>
      <c:layout/>
      <c:barChart>
        <c:barDir val="col"/>
        <c:grouping val="clustered"/>
        <c:varyColors val="0"/>
        <c:ser>
          <c:idx val="0"/>
          <c:order val="0"/>
          <c:tx>
            <c:v>Партнер 1</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numRef>
              <c:f>Совместимость!$B$221:$H$221</c:f>
              <c:numCache>
                <c:formatCode>General</c:formatCode>
                <c:ptCount val="7"/>
                <c:pt idx="0">
                  <c:v>2022</c:v>
                </c:pt>
                <c:pt idx="1">
                  <c:v>2023</c:v>
                </c:pt>
                <c:pt idx="2">
                  <c:v>2024</c:v>
                </c:pt>
                <c:pt idx="3">
                  <c:v>2025</c:v>
                </c:pt>
                <c:pt idx="4">
                  <c:v>2026</c:v>
                </c:pt>
                <c:pt idx="5">
                  <c:v>2027</c:v>
                </c:pt>
                <c:pt idx="6">
                  <c:v>2028</c:v>
                </c:pt>
              </c:numCache>
            </c:numRef>
          </c:cat>
          <c:val>
            <c:numRef>
              <c:f>Совместимость!$B$223:$H$223</c:f>
              <c:numCache>
                <c:formatCode>General</c:formatCode>
                <c:ptCount val="7"/>
                <c:pt idx="0">
                  <c:v>1</c:v>
                </c:pt>
                <c:pt idx="1">
                  <c:v>5</c:v>
                </c:pt>
                <c:pt idx="2">
                  <c:v>9</c:v>
                </c:pt>
                <c:pt idx="3">
                  <c:v>5</c:v>
                </c:pt>
                <c:pt idx="4">
                  <c:v>3</c:v>
                </c:pt>
                <c:pt idx="5">
                  <c:v>6</c:v>
                </c:pt>
                <c:pt idx="6">
                  <c:v>1</c:v>
                </c:pt>
              </c:numCache>
            </c:numRef>
          </c:val>
          <c:extLst>
            <c:ext xmlns:c16="http://schemas.microsoft.com/office/drawing/2014/chart" uri="{C3380CC4-5D6E-409C-BE32-E72D297353CC}">
              <c16:uniqueId val="{00000000-12F7-495E-BD59-BF6A3A3BB8B4}"/>
            </c:ext>
          </c:extLst>
        </c:ser>
        <c:ser>
          <c:idx val="1"/>
          <c:order val="1"/>
          <c:tx>
            <c:v>Партнер 2</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Совместимость!$B$231:$H$231</c:f>
              <c:numCache>
                <c:formatCode>General</c:formatCode>
                <c:ptCount val="7"/>
                <c:pt idx="0">
                  <c:v>1</c:v>
                </c:pt>
                <c:pt idx="1">
                  <c:v>9</c:v>
                </c:pt>
                <c:pt idx="2">
                  <c:v>5</c:v>
                </c:pt>
                <c:pt idx="3">
                  <c:v>4</c:v>
                </c:pt>
                <c:pt idx="4">
                  <c:v>0</c:v>
                </c:pt>
                <c:pt idx="5">
                  <c:v>1</c:v>
                </c:pt>
                <c:pt idx="6">
                  <c:v>1</c:v>
                </c:pt>
              </c:numCache>
            </c:numRef>
          </c:val>
          <c:extLst>
            <c:ext xmlns:c16="http://schemas.microsoft.com/office/drawing/2014/chart" uri="{C3380CC4-5D6E-409C-BE32-E72D297353CC}">
              <c16:uniqueId val="{00000001-12F7-495E-BD59-BF6A3A3BB8B4}"/>
            </c:ext>
          </c:extLst>
        </c:ser>
        <c:dLbls>
          <c:showLegendKey val="0"/>
          <c:showVal val="0"/>
          <c:showCatName val="0"/>
          <c:showSerName val="0"/>
          <c:showPercent val="0"/>
          <c:showBubbleSize val="0"/>
        </c:dLbls>
        <c:gapWidth val="247"/>
        <c:axId val="68299392"/>
        <c:axId val="68305664"/>
      </c:barChart>
      <c:lineChart>
        <c:grouping val="standard"/>
        <c:varyColors val="0"/>
        <c:ser>
          <c:idx val="2"/>
          <c:order val="2"/>
          <c:tx>
            <c:v>Норма</c:v>
          </c:tx>
          <c:spPr>
            <a:ln w="22225" cap="rnd">
              <a:solidFill>
                <a:srgbClr val="FF0000"/>
              </a:solidFill>
              <a:prstDash val="dash"/>
              <a:round/>
            </a:ln>
            <a:effectLst/>
          </c:spPr>
          <c:marker>
            <c:symbol val="none"/>
          </c:marker>
          <c:val>
            <c:numRef>
              <c:f>Совместимость!$B$228:$H$228</c:f>
              <c:numCache>
                <c:formatCode>General</c:formatCode>
                <c:ptCount val="7"/>
                <c:pt idx="0">
                  <c:v>5</c:v>
                </c:pt>
                <c:pt idx="1">
                  <c:v>5</c:v>
                </c:pt>
                <c:pt idx="2">
                  <c:v>5</c:v>
                </c:pt>
                <c:pt idx="3">
                  <c:v>5</c:v>
                </c:pt>
                <c:pt idx="4">
                  <c:v>5</c:v>
                </c:pt>
                <c:pt idx="5">
                  <c:v>5</c:v>
                </c:pt>
                <c:pt idx="6">
                  <c:v>5</c:v>
                </c:pt>
              </c:numCache>
            </c:numRef>
          </c:val>
          <c:smooth val="0"/>
          <c:extLst>
            <c:ext xmlns:c16="http://schemas.microsoft.com/office/drawing/2014/chart" uri="{C3380CC4-5D6E-409C-BE32-E72D297353CC}">
              <c16:uniqueId val="{00000002-12F7-495E-BD59-BF6A3A3BB8B4}"/>
            </c:ext>
          </c:extLst>
        </c:ser>
        <c:dLbls>
          <c:showLegendKey val="0"/>
          <c:showVal val="0"/>
          <c:showCatName val="0"/>
          <c:showSerName val="0"/>
          <c:showPercent val="0"/>
          <c:showBubbleSize val="0"/>
        </c:dLbls>
        <c:marker val="1"/>
        <c:smooth val="0"/>
        <c:axId val="68299392"/>
        <c:axId val="68305664"/>
      </c:lineChart>
      <c:catAx>
        <c:axId val="68299392"/>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ru-RU"/>
                  <a:t>Годы</a:t>
                </a:r>
                <a:endParaRPr lang="en-US"/>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ru-RU"/>
            </a:p>
          </c:txPr>
        </c:title>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ru-RU"/>
          </a:p>
        </c:txPr>
        <c:crossAx val="68305664"/>
        <c:crosses val="autoZero"/>
        <c:auto val="1"/>
        <c:lblAlgn val="ctr"/>
        <c:lblOffset val="100"/>
        <c:noMultiLvlLbl val="0"/>
      </c:catAx>
      <c:valAx>
        <c:axId val="68305664"/>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ru-RU"/>
                  <a:t>Уровень</a:t>
                </a:r>
                <a:r>
                  <a:rPr lang="ru-RU" baseline="0"/>
                  <a:t> Энергии от 0 до 9</a:t>
                </a:r>
                <a:endParaRPr lang="en-US"/>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ru-RU"/>
          </a:p>
        </c:txPr>
        <c:crossAx val="68299392"/>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ru-RU"/>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chart" Target="../charts/chart16.xml"/><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5.xml"/><Relationship Id="rId2" Type="http://schemas.openxmlformats.org/officeDocument/2006/relationships/chart" Target="../charts/chart1.xml"/><Relationship Id="rId16" Type="http://schemas.openxmlformats.org/officeDocument/2006/relationships/chart" Target="../charts/chart14.xml"/><Relationship Id="rId1" Type="http://schemas.openxmlformats.org/officeDocument/2006/relationships/image" Target="../media/image1.png"/><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image" Target="../media/image2.jpg"/><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chart" Target="../charts/chart1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2</xdr:col>
      <xdr:colOff>120939</xdr:colOff>
      <xdr:row>50</xdr:row>
      <xdr:rowOff>65231</xdr:rowOff>
    </xdr:from>
    <xdr:to>
      <xdr:col>4</xdr:col>
      <xdr:colOff>493279</xdr:colOff>
      <xdr:row>52</xdr:row>
      <xdr:rowOff>169141</xdr:rowOff>
    </xdr:to>
    <xdr:sp macro="" textlink="">
      <xdr:nvSpPr>
        <xdr:cNvPr id="181" name="Isosceles Triangle 180">
          <a:extLst>
            <a:ext uri="{FF2B5EF4-FFF2-40B4-BE49-F238E27FC236}">
              <a16:creationId xmlns:a16="http://schemas.microsoft.com/office/drawing/2014/main" id="{00000000-0008-0000-0100-0000B5000000}"/>
            </a:ext>
          </a:extLst>
        </xdr:cNvPr>
        <xdr:cNvSpPr/>
      </xdr:nvSpPr>
      <xdr:spPr>
        <a:xfrm>
          <a:off x="1073439" y="10657031"/>
          <a:ext cx="1591540" cy="494435"/>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95250</xdr:colOff>
      <xdr:row>2</xdr:row>
      <xdr:rowOff>374197</xdr:rowOff>
    </xdr:from>
    <xdr:to>
      <xdr:col>16</xdr:col>
      <xdr:colOff>40821</xdr:colOff>
      <xdr:row>29</xdr:row>
      <xdr:rowOff>20412</xdr:rowOff>
    </xdr:to>
    <xdr:sp macro="" textlink="">
      <xdr:nvSpPr>
        <xdr:cNvPr id="6" name="Diamond 5">
          <a:extLst>
            <a:ext uri="{FF2B5EF4-FFF2-40B4-BE49-F238E27FC236}">
              <a16:creationId xmlns:a16="http://schemas.microsoft.com/office/drawing/2014/main" id="{00000000-0008-0000-0100-000006000000}"/>
            </a:ext>
          </a:extLst>
        </xdr:cNvPr>
        <xdr:cNvSpPr/>
      </xdr:nvSpPr>
      <xdr:spPr>
        <a:xfrm>
          <a:off x="1319893" y="755197"/>
          <a:ext cx="5646964" cy="5320394"/>
        </a:xfrm>
        <a:prstGeom prst="diamond">
          <a:avLst/>
        </a:prstGeom>
        <a:noFill/>
        <a:ln w="44450" cmpd="thickThi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101202</xdr:colOff>
      <xdr:row>2</xdr:row>
      <xdr:rowOff>65484</xdr:rowOff>
    </xdr:from>
    <xdr:to>
      <xdr:col>7</xdr:col>
      <xdr:colOff>320275</xdr:colOff>
      <xdr:row>5</xdr:row>
      <xdr:rowOff>143536</xdr:rowOff>
    </xdr:to>
    <xdr:pic>
      <xdr:nvPicPr>
        <xdr:cNvPr id="3" name="Picture 2" descr="https://ci5.googleusercontent.com/proxy/a06YytF6TVttLzrYPtoG6ElWBmK5XnH76wS7wIMU0DSbUmgA2ZJ51mz9jW0Hrd-huzQFsEvt80-2Dp-pEQ=s0-d-e1-ft#http://alvasar.ru/d/1157544/d/logo1.png">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2436" y="446484"/>
          <a:ext cx="826293" cy="916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116</xdr:row>
      <xdr:rowOff>63500</xdr:rowOff>
    </xdr:from>
    <xdr:to>
      <xdr:col>18</xdr:col>
      <xdr:colOff>550334</xdr:colOff>
      <xdr:row>148</xdr:row>
      <xdr:rowOff>24103</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101971</xdr:colOff>
      <xdr:row>149</xdr:row>
      <xdr:rowOff>83952</xdr:rowOff>
    </xdr:from>
    <xdr:to>
      <xdr:col>18</xdr:col>
      <xdr:colOff>592667</xdr:colOff>
      <xdr:row>180</xdr:row>
      <xdr:rowOff>77602</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117716</xdr:colOff>
      <xdr:row>212</xdr:row>
      <xdr:rowOff>132194</xdr:rowOff>
    </xdr:from>
    <xdr:to>
      <xdr:col>34</xdr:col>
      <xdr:colOff>354542</xdr:colOff>
      <xdr:row>243</xdr:row>
      <xdr:rowOff>125844</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142154</xdr:colOff>
      <xdr:row>244</xdr:row>
      <xdr:rowOff>2884</xdr:rowOff>
    </xdr:from>
    <xdr:to>
      <xdr:col>18</xdr:col>
      <xdr:colOff>645585</xdr:colOff>
      <xdr:row>274</xdr:row>
      <xdr:rowOff>187034</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155587</xdr:colOff>
      <xdr:row>212</xdr:row>
      <xdr:rowOff>145153</xdr:rowOff>
    </xdr:from>
    <xdr:to>
      <xdr:col>18</xdr:col>
      <xdr:colOff>532017</xdr:colOff>
      <xdr:row>243</xdr:row>
      <xdr:rowOff>138803</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51680</xdr:colOff>
      <xdr:row>149</xdr:row>
      <xdr:rowOff>42609</xdr:rowOff>
    </xdr:from>
    <xdr:to>
      <xdr:col>32</xdr:col>
      <xdr:colOff>264584</xdr:colOff>
      <xdr:row>180</xdr:row>
      <xdr:rowOff>36259</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147205</xdr:colOff>
      <xdr:row>276</xdr:row>
      <xdr:rowOff>6012</xdr:rowOff>
    </xdr:from>
    <xdr:to>
      <xdr:col>18</xdr:col>
      <xdr:colOff>656167</xdr:colOff>
      <xdr:row>306</xdr:row>
      <xdr:rowOff>190162</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120266</xdr:colOff>
      <xdr:row>180</xdr:row>
      <xdr:rowOff>136620</xdr:rowOff>
    </xdr:from>
    <xdr:to>
      <xdr:col>18</xdr:col>
      <xdr:colOff>582084</xdr:colOff>
      <xdr:row>211</xdr:row>
      <xdr:rowOff>162020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75</xdr:row>
      <xdr:rowOff>61297</xdr:rowOff>
    </xdr:from>
    <xdr:to>
      <xdr:col>9</xdr:col>
      <xdr:colOff>154707</xdr:colOff>
      <xdr:row>92</xdr:row>
      <xdr:rowOff>92173</xdr:rowOff>
    </xdr:to>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35479</xdr:colOff>
      <xdr:row>117</xdr:row>
      <xdr:rowOff>38123</xdr:rowOff>
    </xdr:from>
    <xdr:to>
      <xdr:col>32</xdr:col>
      <xdr:colOff>52916</xdr:colOff>
      <xdr:row>148</xdr:row>
      <xdr:rowOff>31773</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xdr:colOff>
      <xdr:row>311</xdr:row>
      <xdr:rowOff>11958</xdr:rowOff>
    </xdr:from>
    <xdr:to>
      <xdr:col>16</xdr:col>
      <xdr:colOff>16853</xdr:colOff>
      <xdr:row>338</xdr:row>
      <xdr:rowOff>71804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244721</xdr:colOff>
      <xdr:row>75</xdr:row>
      <xdr:rowOff>10990</xdr:rowOff>
    </xdr:from>
    <xdr:to>
      <xdr:col>18</xdr:col>
      <xdr:colOff>381000</xdr:colOff>
      <xdr:row>92</xdr:row>
      <xdr:rowOff>29308</xdr:rowOff>
    </xdr:to>
    <xdr:graphicFrame macro="">
      <xdr:nvGraphicFramePr>
        <xdr:cNvPr id="16" name="Chart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41</xdr:col>
      <xdr:colOff>435988</xdr:colOff>
      <xdr:row>78</xdr:row>
      <xdr:rowOff>33424</xdr:rowOff>
    </xdr:from>
    <xdr:to>
      <xdr:col>74</xdr:col>
      <xdr:colOff>292834</xdr:colOff>
      <xdr:row>112</xdr:row>
      <xdr:rowOff>165842</xdr:rowOff>
    </xdr:to>
    <xdr:graphicFrame macro="">
      <xdr:nvGraphicFramePr>
        <xdr:cNvPr id="14" name="Chart 13">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30</xdr:col>
      <xdr:colOff>244379</xdr:colOff>
      <xdr:row>80</xdr:row>
      <xdr:rowOff>25977</xdr:rowOff>
    </xdr:from>
    <xdr:to>
      <xdr:col>31</xdr:col>
      <xdr:colOff>482675</xdr:colOff>
      <xdr:row>90</xdr:row>
      <xdr:rowOff>85502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0797212" y="16578310"/>
          <a:ext cx="957963" cy="2037550"/>
        </a:xfrm>
        <a:prstGeom prst="rect">
          <a:avLst/>
        </a:prstGeom>
      </xdr:spPr>
    </xdr:pic>
    <xdr:clientData/>
  </xdr:twoCellAnchor>
  <xdr:twoCellAnchor>
    <xdr:from>
      <xdr:col>11</xdr:col>
      <xdr:colOff>219075</xdr:colOff>
      <xdr:row>38</xdr:row>
      <xdr:rowOff>133350</xdr:rowOff>
    </xdr:from>
    <xdr:to>
      <xdr:col>11</xdr:col>
      <xdr:colOff>571500</xdr:colOff>
      <xdr:row>40</xdr:row>
      <xdr:rowOff>66675</xdr:rowOff>
    </xdr:to>
    <xdr:sp macro="" textlink="">
      <xdr:nvSpPr>
        <xdr:cNvPr id="18" name="Oval 17">
          <a:extLst>
            <a:ext uri="{FF2B5EF4-FFF2-40B4-BE49-F238E27FC236}">
              <a16:creationId xmlns:a16="http://schemas.microsoft.com/office/drawing/2014/main" id="{00000000-0008-0000-0100-000012000000}"/>
            </a:ext>
          </a:extLst>
        </xdr:cNvPr>
        <xdr:cNvSpPr/>
      </xdr:nvSpPr>
      <xdr:spPr>
        <a:xfrm>
          <a:off x="3686175" y="837247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133350</xdr:colOff>
      <xdr:row>41</xdr:row>
      <xdr:rowOff>152400</xdr:rowOff>
    </xdr:from>
    <xdr:to>
      <xdr:col>13</xdr:col>
      <xdr:colOff>485775</xdr:colOff>
      <xdr:row>43</xdr:row>
      <xdr:rowOff>85725</xdr:rowOff>
    </xdr:to>
    <xdr:sp macro="" textlink="">
      <xdr:nvSpPr>
        <xdr:cNvPr id="19" name="Oval 18">
          <a:extLst>
            <a:ext uri="{FF2B5EF4-FFF2-40B4-BE49-F238E27FC236}">
              <a16:creationId xmlns:a16="http://schemas.microsoft.com/office/drawing/2014/main" id="{00000000-0008-0000-0100-000013000000}"/>
            </a:ext>
          </a:extLst>
        </xdr:cNvPr>
        <xdr:cNvSpPr/>
      </xdr:nvSpPr>
      <xdr:spPr>
        <a:xfrm>
          <a:off x="5057775" y="898207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142875</xdr:colOff>
      <xdr:row>38</xdr:row>
      <xdr:rowOff>133350</xdr:rowOff>
    </xdr:from>
    <xdr:to>
      <xdr:col>14</xdr:col>
      <xdr:colOff>495300</xdr:colOff>
      <xdr:row>40</xdr:row>
      <xdr:rowOff>66675</xdr:rowOff>
    </xdr:to>
    <xdr:sp macro="" textlink="">
      <xdr:nvSpPr>
        <xdr:cNvPr id="20" name="Oval 19">
          <a:extLst>
            <a:ext uri="{FF2B5EF4-FFF2-40B4-BE49-F238E27FC236}">
              <a16:creationId xmlns:a16="http://schemas.microsoft.com/office/drawing/2014/main" id="{00000000-0008-0000-0100-000014000000}"/>
            </a:ext>
          </a:extLst>
        </xdr:cNvPr>
        <xdr:cNvSpPr/>
      </xdr:nvSpPr>
      <xdr:spPr>
        <a:xfrm>
          <a:off x="5676900" y="837247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133350</xdr:colOff>
      <xdr:row>35</xdr:row>
      <xdr:rowOff>122464</xdr:rowOff>
    </xdr:from>
    <xdr:to>
      <xdr:col>13</xdr:col>
      <xdr:colOff>485775</xdr:colOff>
      <xdr:row>37</xdr:row>
      <xdr:rowOff>46264</xdr:rowOff>
    </xdr:to>
    <xdr:sp macro="" textlink="">
      <xdr:nvSpPr>
        <xdr:cNvPr id="21" name="Oval 20">
          <a:extLst>
            <a:ext uri="{FF2B5EF4-FFF2-40B4-BE49-F238E27FC236}">
              <a16:creationId xmlns:a16="http://schemas.microsoft.com/office/drawing/2014/main" id="{00000000-0008-0000-0100-000015000000}"/>
            </a:ext>
          </a:extLst>
        </xdr:cNvPr>
        <xdr:cNvSpPr/>
      </xdr:nvSpPr>
      <xdr:spPr>
        <a:xfrm>
          <a:off x="5065939" y="7708446"/>
          <a:ext cx="352425" cy="318407"/>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142875</xdr:colOff>
      <xdr:row>35</xdr:row>
      <xdr:rowOff>133350</xdr:rowOff>
    </xdr:from>
    <xdr:to>
      <xdr:col>9</xdr:col>
      <xdr:colOff>495300</xdr:colOff>
      <xdr:row>37</xdr:row>
      <xdr:rowOff>57150</xdr:rowOff>
    </xdr:to>
    <xdr:sp macro="" textlink="">
      <xdr:nvSpPr>
        <xdr:cNvPr id="22" name="Oval 21">
          <a:extLst>
            <a:ext uri="{FF2B5EF4-FFF2-40B4-BE49-F238E27FC236}">
              <a16:creationId xmlns:a16="http://schemas.microsoft.com/office/drawing/2014/main" id="{00000000-0008-0000-0100-000016000000}"/>
            </a:ext>
          </a:extLst>
        </xdr:cNvPr>
        <xdr:cNvSpPr/>
      </xdr:nvSpPr>
      <xdr:spPr>
        <a:xfrm>
          <a:off x="2324100" y="776287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133350</xdr:colOff>
      <xdr:row>38</xdr:row>
      <xdr:rowOff>152400</xdr:rowOff>
    </xdr:from>
    <xdr:to>
      <xdr:col>8</xdr:col>
      <xdr:colOff>485775</xdr:colOff>
      <xdr:row>40</xdr:row>
      <xdr:rowOff>85725</xdr:rowOff>
    </xdr:to>
    <xdr:sp macro="" textlink="">
      <xdr:nvSpPr>
        <xdr:cNvPr id="23" name="Oval 22">
          <a:extLst>
            <a:ext uri="{FF2B5EF4-FFF2-40B4-BE49-F238E27FC236}">
              <a16:creationId xmlns:a16="http://schemas.microsoft.com/office/drawing/2014/main" id="{00000000-0008-0000-0100-000017000000}"/>
            </a:ext>
          </a:extLst>
        </xdr:cNvPr>
        <xdr:cNvSpPr/>
      </xdr:nvSpPr>
      <xdr:spPr>
        <a:xfrm>
          <a:off x="1704975" y="839152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152400</xdr:colOff>
      <xdr:row>41</xdr:row>
      <xdr:rowOff>152400</xdr:rowOff>
    </xdr:from>
    <xdr:to>
      <xdr:col>9</xdr:col>
      <xdr:colOff>504825</xdr:colOff>
      <xdr:row>43</xdr:row>
      <xdr:rowOff>85725</xdr:rowOff>
    </xdr:to>
    <xdr:sp macro="" textlink="">
      <xdr:nvSpPr>
        <xdr:cNvPr id="24" name="Oval 23">
          <a:extLst>
            <a:ext uri="{FF2B5EF4-FFF2-40B4-BE49-F238E27FC236}">
              <a16:creationId xmlns:a16="http://schemas.microsoft.com/office/drawing/2014/main" id="{00000000-0008-0000-0100-000018000000}"/>
            </a:ext>
          </a:extLst>
        </xdr:cNvPr>
        <xdr:cNvSpPr/>
      </xdr:nvSpPr>
      <xdr:spPr>
        <a:xfrm>
          <a:off x="2333625" y="898207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200025</xdr:colOff>
      <xdr:row>43</xdr:row>
      <xdr:rowOff>161925</xdr:rowOff>
    </xdr:from>
    <xdr:to>
      <xdr:col>11</xdr:col>
      <xdr:colOff>552450</xdr:colOff>
      <xdr:row>45</xdr:row>
      <xdr:rowOff>85725</xdr:rowOff>
    </xdr:to>
    <xdr:sp macro="" textlink="">
      <xdr:nvSpPr>
        <xdr:cNvPr id="25" name="Oval 24">
          <a:extLst>
            <a:ext uri="{FF2B5EF4-FFF2-40B4-BE49-F238E27FC236}">
              <a16:creationId xmlns:a16="http://schemas.microsoft.com/office/drawing/2014/main" id="{00000000-0008-0000-0100-000019000000}"/>
            </a:ext>
          </a:extLst>
        </xdr:cNvPr>
        <xdr:cNvSpPr/>
      </xdr:nvSpPr>
      <xdr:spPr>
        <a:xfrm>
          <a:off x="3667125" y="938212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190500</xdr:colOff>
      <xdr:row>33</xdr:row>
      <xdr:rowOff>142875</xdr:rowOff>
    </xdr:from>
    <xdr:to>
      <xdr:col>11</xdr:col>
      <xdr:colOff>542925</xdr:colOff>
      <xdr:row>35</xdr:row>
      <xdr:rowOff>76200</xdr:rowOff>
    </xdr:to>
    <xdr:sp macro="" textlink="">
      <xdr:nvSpPr>
        <xdr:cNvPr id="26" name="Oval 25">
          <a:extLst>
            <a:ext uri="{FF2B5EF4-FFF2-40B4-BE49-F238E27FC236}">
              <a16:creationId xmlns:a16="http://schemas.microsoft.com/office/drawing/2014/main" id="{00000000-0008-0000-0100-00001A000000}"/>
            </a:ext>
          </a:extLst>
        </xdr:cNvPr>
        <xdr:cNvSpPr/>
      </xdr:nvSpPr>
      <xdr:spPr>
        <a:xfrm>
          <a:off x="3657600" y="7381875"/>
          <a:ext cx="352425" cy="32385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434164</xdr:colOff>
      <xdr:row>37</xdr:row>
      <xdr:rowOff>9723</xdr:rowOff>
    </xdr:from>
    <xdr:to>
      <xdr:col>9</xdr:col>
      <xdr:colOff>194486</xdr:colOff>
      <xdr:row>38</xdr:row>
      <xdr:rowOff>199827</xdr:rowOff>
    </xdr:to>
    <xdr:cxnSp macro="">
      <xdr:nvCxnSpPr>
        <xdr:cNvPr id="28" name="Straight Connector 27">
          <a:extLst>
            <a:ext uri="{FF2B5EF4-FFF2-40B4-BE49-F238E27FC236}">
              <a16:creationId xmlns:a16="http://schemas.microsoft.com/office/drawing/2014/main" id="{00000000-0008-0000-0100-00001C000000}"/>
            </a:ext>
          </a:extLst>
        </xdr:cNvPr>
        <xdr:cNvCxnSpPr>
          <a:stCxn id="23" idx="7"/>
          <a:endCxn id="22" idx="3"/>
        </xdr:cNvCxnSpPr>
      </xdr:nvCxnSpPr>
      <xdr:spPr>
        <a:xfrm flipV="1">
          <a:off x="2005789" y="8039298"/>
          <a:ext cx="369922" cy="3996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434164</xdr:colOff>
      <xdr:row>40</xdr:row>
      <xdr:rowOff>38298</xdr:rowOff>
    </xdr:from>
    <xdr:to>
      <xdr:col>9</xdr:col>
      <xdr:colOff>204011</xdr:colOff>
      <xdr:row>41</xdr:row>
      <xdr:rowOff>199827</xdr:rowOff>
    </xdr:to>
    <xdr:cxnSp macro="">
      <xdr:nvCxnSpPr>
        <xdr:cNvPr id="30" name="Straight Connector 29">
          <a:extLst>
            <a:ext uri="{FF2B5EF4-FFF2-40B4-BE49-F238E27FC236}">
              <a16:creationId xmlns:a16="http://schemas.microsoft.com/office/drawing/2014/main" id="{00000000-0008-0000-0100-00001E000000}"/>
            </a:ext>
          </a:extLst>
        </xdr:cNvPr>
        <xdr:cNvCxnSpPr>
          <a:stCxn id="23" idx="5"/>
          <a:endCxn id="24" idx="1"/>
        </xdr:cNvCxnSpPr>
      </xdr:nvCxnSpPr>
      <xdr:spPr>
        <a:xfrm>
          <a:off x="2005789" y="8667948"/>
          <a:ext cx="379447" cy="3615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504825</xdr:colOff>
      <xdr:row>42</xdr:row>
      <xdr:rowOff>114300</xdr:rowOff>
    </xdr:from>
    <xdr:to>
      <xdr:col>13</xdr:col>
      <xdr:colOff>133350</xdr:colOff>
      <xdr:row>42</xdr:row>
      <xdr:rowOff>114300</xdr:rowOff>
    </xdr:to>
    <xdr:cxnSp macro="">
      <xdr:nvCxnSpPr>
        <xdr:cNvPr id="32" name="Straight Connector 31">
          <a:extLst>
            <a:ext uri="{FF2B5EF4-FFF2-40B4-BE49-F238E27FC236}">
              <a16:creationId xmlns:a16="http://schemas.microsoft.com/office/drawing/2014/main" id="{00000000-0008-0000-0100-000020000000}"/>
            </a:ext>
          </a:extLst>
        </xdr:cNvPr>
        <xdr:cNvCxnSpPr>
          <a:stCxn id="24" idx="6"/>
          <a:endCxn id="19" idx="2"/>
        </xdr:cNvCxnSpPr>
      </xdr:nvCxnSpPr>
      <xdr:spPr>
        <a:xfrm>
          <a:off x="2686050" y="9144000"/>
          <a:ext cx="237172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495300</xdr:colOff>
      <xdr:row>36</xdr:row>
      <xdr:rowOff>84364</xdr:rowOff>
    </xdr:from>
    <xdr:to>
      <xdr:col>13</xdr:col>
      <xdr:colOff>133350</xdr:colOff>
      <xdr:row>36</xdr:row>
      <xdr:rowOff>95250</xdr:rowOff>
    </xdr:to>
    <xdr:cxnSp macro="">
      <xdr:nvCxnSpPr>
        <xdr:cNvPr id="36" name="Straight Connector 35">
          <a:extLst>
            <a:ext uri="{FF2B5EF4-FFF2-40B4-BE49-F238E27FC236}">
              <a16:creationId xmlns:a16="http://schemas.microsoft.com/office/drawing/2014/main" id="{00000000-0008-0000-0100-000024000000}"/>
            </a:ext>
          </a:extLst>
        </xdr:cNvPr>
        <xdr:cNvCxnSpPr>
          <a:stCxn id="22" idx="6"/>
          <a:endCxn id="21" idx="2"/>
        </xdr:cNvCxnSpPr>
      </xdr:nvCxnSpPr>
      <xdr:spPr>
        <a:xfrm flipV="1">
          <a:off x="2686050" y="7867650"/>
          <a:ext cx="2379889" cy="108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319088</xdr:colOff>
      <xdr:row>37</xdr:row>
      <xdr:rowOff>57150</xdr:rowOff>
    </xdr:from>
    <xdr:to>
      <xdr:col>9</xdr:col>
      <xdr:colOff>328613</xdr:colOff>
      <xdr:row>41</xdr:row>
      <xdr:rowOff>152400</xdr:rowOff>
    </xdr:to>
    <xdr:cxnSp macro="">
      <xdr:nvCxnSpPr>
        <xdr:cNvPr id="39" name="Straight Connector 38">
          <a:extLst>
            <a:ext uri="{FF2B5EF4-FFF2-40B4-BE49-F238E27FC236}">
              <a16:creationId xmlns:a16="http://schemas.microsoft.com/office/drawing/2014/main" id="{00000000-0008-0000-0100-000027000000}"/>
            </a:ext>
          </a:extLst>
        </xdr:cNvPr>
        <xdr:cNvCxnSpPr>
          <a:stCxn id="22" idx="4"/>
          <a:endCxn id="24" idx="0"/>
        </xdr:cNvCxnSpPr>
      </xdr:nvCxnSpPr>
      <xdr:spPr>
        <a:xfrm>
          <a:off x="2500313" y="8086725"/>
          <a:ext cx="9525" cy="8953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434164</xdr:colOff>
      <xdr:row>36</xdr:row>
      <xdr:rowOff>196937</xdr:rowOff>
    </xdr:from>
    <xdr:to>
      <xdr:col>14</xdr:col>
      <xdr:colOff>194486</xdr:colOff>
      <xdr:row>38</xdr:row>
      <xdr:rowOff>180378</xdr:rowOff>
    </xdr:to>
    <xdr:cxnSp macro="">
      <xdr:nvCxnSpPr>
        <xdr:cNvPr id="48" name="Straight Connector 47">
          <a:extLst>
            <a:ext uri="{FF2B5EF4-FFF2-40B4-BE49-F238E27FC236}">
              <a16:creationId xmlns:a16="http://schemas.microsoft.com/office/drawing/2014/main" id="{00000000-0008-0000-0100-000030000000}"/>
            </a:ext>
          </a:extLst>
        </xdr:cNvPr>
        <xdr:cNvCxnSpPr>
          <a:stCxn id="21" idx="5"/>
          <a:endCxn id="20" idx="1"/>
        </xdr:cNvCxnSpPr>
      </xdr:nvCxnSpPr>
      <xdr:spPr>
        <a:xfrm>
          <a:off x="5366753" y="7980223"/>
          <a:ext cx="372644" cy="39165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434164</xdr:colOff>
      <xdr:row>40</xdr:row>
      <xdr:rowOff>19647</xdr:rowOff>
    </xdr:from>
    <xdr:to>
      <xdr:col>14</xdr:col>
      <xdr:colOff>194486</xdr:colOff>
      <xdr:row>42</xdr:row>
      <xdr:rowOff>2124</xdr:rowOff>
    </xdr:to>
    <xdr:cxnSp macro="">
      <xdr:nvCxnSpPr>
        <xdr:cNvPr id="50" name="Straight Connector 49">
          <a:extLst>
            <a:ext uri="{FF2B5EF4-FFF2-40B4-BE49-F238E27FC236}">
              <a16:creationId xmlns:a16="http://schemas.microsoft.com/office/drawing/2014/main" id="{00000000-0008-0000-0100-000032000000}"/>
            </a:ext>
          </a:extLst>
        </xdr:cNvPr>
        <xdr:cNvCxnSpPr>
          <a:stCxn id="20" idx="3"/>
          <a:endCxn id="19" idx="7"/>
        </xdr:cNvCxnSpPr>
      </xdr:nvCxnSpPr>
      <xdr:spPr>
        <a:xfrm flipH="1">
          <a:off x="5366753" y="8598951"/>
          <a:ext cx="372644" cy="37708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309563</xdr:colOff>
      <xdr:row>37</xdr:row>
      <xdr:rowOff>46264</xdr:rowOff>
    </xdr:from>
    <xdr:to>
      <xdr:col>13</xdr:col>
      <xdr:colOff>309563</xdr:colOff>
      <xdr:row>41</xdr:row>
      <xdr:rowOff>152400</xdr:rowOff>
    </xdr:to>
    <xdr:cxnSp macro="">
      <xdr:nvCxnSpPr>
        <xdr:cNvPr id="52" name="Straight Connector 51">
          <a:extLst>
            <a:ext uri="{FF2B5EF4-FFF2-40B4-BE49-F238E27FC236}">
              <a16:creationId xmlns:a16="http://schemas.microsoft.com/office/drawing/2014/main" id="{00000000-0008-0000-0100-000034000000}"/>
            </a:ext>
          </a:extLst>
        </xdr:cNvPr>
        <xdr:cNvCxnSpPr>
          <a:stCxn id="21" idx="4"/>
          <a:endCxn id="19" idx="0"/>
        </xdr:cNvCxnSpPr>
      </xdr:nvCxnSpPr>
      <xdr:spPr>
        <a:xfrm>
          <a:off x="5242152" y="8026853"/>
          <a:ext cx="0" cy="902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443689</xdr:colOff>
      <xdr:row>34</xdr:row>
      <xdr:rowOff>106136</xdr:rowOff>
    </xdr:from>
    <xdr:to>
      <xdr:col>11</xdr:col>
      <xdr:colOff>190500</xdr:colOff>
      <xdr:row>35</xdr:row>
      <xdr:rowOff>179980</xdr:rowOff>
    </xdr:to>
    <xdr:cxnSp macro="">
      <xdr:nvCxnSpPr>
        <xdr:cNvPr id="56" name="Straight Connector 55">
          <a:extLst>
            <a:ext uri="{FF2B5EF4-FFF2-40B4-BE49-F238E27FC236}">
              <a16:creationId xmlns:a16="http://schemas.microsoft.com/office/drawing/2014/main" id="{00000000-0008-0000-0100-000038000000}"/>
            </a:ext>
          </a:extLst>
        </xdr:cNvPr>
        <xdr:cNvCxnSpPr>
          <a:stCxn id="22" idx="7"/>
          <a:endCxn id="26" idx="2"/>
        </xdr:cNvCxnSpPr>
      </xdr:nvCxnSpPr>
      <xdr:spPr>
        <a:xfrm flipV="1">
          <a:off x="2634439" y="7501618"/>
          <a:ext cx="1032686" cy="26434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542925</xdr:colOff>
      <xdr:row>34</xdr:row>
      <xdr:rowOff>106136</xdr:rowOff>
    </xdr:from>
    <xdr:to>
      <xdr:col>13</xdr:col>
      <xdr:colOff>184961</xdr:colOff>
      <xdr:row>35</xdr:row>
      <xdr:rowOff>169094</xdr:rowOff>
    </xdr:to>
    <xdr:cxnSp macro="">
      <xdr:nvCxnSpPr>
        <xdr:cNvPr id="58" name="Straight Connector 57">
          <a:extLst>
            <a:ext uri="{FF2B5EF4-FFF2-40B4-BE49-F238E27FC236}">
              <a16:creationId xmlns:a16="http://schemas.microsoft.com/office/drawing/2014/main" id="{00000000-0008-0000-0100-00003A000000}"/>
            </a:ext>
          </a:extLst>
        </xdr:cNvPr>
        <xdr:cNvCxnSpPr>
          <a:stCxn id="26" idx="6"/>
          <a:endCxn id="21" idx="1"/>
        </xdr:cNvCxnSpPr>
      </xdr:nvCxnSpPr>
      <xdr:spPr>
        <a:xfrm>
          <a:off x="4019550" y="7501618"/>
          <a:ext cx="1098000" cy="25345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453214</xdr:colOff>
      <xdr:row>43</xdr:row>
      <xdr:rowOff>38697</xdr:rowOff>
    </xdr:from>
    <xdr:to>
      <xdr:col>11</xdr:col>
      <xdr:colOff>200025</xdr:colOff>
      <xdr:row>44</xdr:row>
      <xdr:rowOff>123826</xdr:rowOff>
    </xdr:to>
    <xdr:cxnSp macro="">
      <xdr:nvCxnSpPr>
        <xdr:cNvPr id="60" name="Straight Connector 59">
          <a:extLst>
            <a:ext uri="{FF2B5EF4-FFF2-40B4-BE49-F238E27FC236}">
              <a16:creationId xmlns:a16="http://schemas.microsoft.com/office/drawing/2014/main" id="{00000000-0008-0000-0100-00003C000000}"/>
            </a:ext>
          </a:extLst>
        </xdr:cNvPr>
        <xdr:cNvCxnSpPr>
          <a:stCxn id="24" idx="5"/>
          <a:endCxn id="25" idx="2"/>
        </xdr:cNvCxnSpPr>
      </xdr:nvCxnSpPr>
      <xdr:spPr>
        <a:xfrm>
          <a:off x="2643964" y="9203108"/>
          <a:ext cx="1032686" cy="28243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552450</xdr:colOff>
      <xdr:row>43</xdr:row>
      <xdr:rowOff>38697</xdr:rowOff>
    </xdr:from>
    <xdr:to>
      <xdr:col>13</xdr:col>
      <xdr:colOff>184961</xdr:colOff>
      <xdr:row>44</xdr:row>
      <xdr:rowOff>123826</xdr:rowOff>
    </xdr:to>
    <xdr:cxnSp macro="">
      <xdr:nvCxnSpPr>
        <xdr:cNvPr id="62" name="Straight Connector 61">
          <a:extLst>
            <a:ext uri="{FF2B5EF4-FFF2-40B4-BE49-F238E27FC236}">
              <a16:creationId xmlns:a16="http://schemas.microsoft.com/office/drawing/2014/main" id="{00000000-0008-0000-0100-00003E000000}"/>
            </a:ext>
          </a:extLst>
        </xdr:cNvPr>
        <xdr:cNvCxnSpPr>
          <a:stCxn id="25" idx="6"/>
          <a:endCxn id="19" idx="3"/>
        </xdr:cNvCxnSpPr>
      </xdr:nvCxnSpPr>
      <xdr:spPr>
        <a:xfrm flipV="1">
          <a:off x="4029075" y="9203108"/>
          <a:ext cx="1088475" cy="28243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453214</xdr:colOff>
      <xdr:row>39</xdr:row>
      <xdr:rowOff>96611</xdr:rowOff>
    </xdr:from>
    <xdr:to>
      <xdr:col>11</xdr:col>
      <xdr:colOff>219075</xdr:colOff>
      <xdr:row>42</xdr:row>
      <xdr:rowOff>2124</xdr:rowOff>
    </xdr:to>
    <xdr:cxnSp macro="">
      <xdr:nvCxnSpPr>
        <xdr:cNvPr id="64" name="Straight Connector 63">
          <a:extLst>
            <a:ext uri="{FF2B5EF4-FFF2-40B4-BE49-F238E27FC236}">
              <a16:creationId xmlns:a16="http://schemas.microsoft.com/office/drawing/2014/main" id="{00000000-0008-0000-0100-000040000000}"/>
            </a:ext>
          </a:extLst>
        </xdr:cNvPr>
        <xdr:cNvCxnSpPr>
          <a:stCxn id="24" idx="7"/>
          <a:endCxn id="18" idx="2"/>
        </xdr:cNvCxnSpPr>
      </xdr:nvCxnSpPr>
      <xdr:spPr>
        <a:xfrm flipV="1">
          <a:off x="2643964" y="8485415"/>
          <a:ext cx="1051736" cy="49062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443689</xdr:colOff>
      <xdr:row>37</xdr:row>
      <xdr:rowOff>10520</xdr:rowOff>
    </xdr:from>
    <xdr:to>
      <xdr:col>11</xdr:col>
      <xdr:colOff>219075</xdr:colOff>
      <xdr:row>39</xdr:row>
      <xdr:rowOff>96611</xdr:rowOff>
    </xdr:to>
    <xdr:cxnSp macro="">
      <xdr:nvCxnSpPr>
        <xdr:cNvPr id="66" name="Straight Connector 65">
          <a:extLst>
            <a:ext uri="{FF2B5EF4-FFF2-40B4-BE49-F238E27FC236}">
              <a16:creationId xmlns:a16="http://schemas.microsoft.com/office/drawing/2014/main" id="{00000000-0008-0000-0100-000042000000}"/>
            </a:ext>
          </a:extLst>
        </xdr:cNvPr>
        <xdr:cNvCxnSpPr>
          <a:stCxn id="22" idx="5"/>
          <a:endCxn id="18" idx="2"/>
        </xdr:cNvCxnSpPr>
      </xdr:nvCxnSpPr>
      <xdr:spPr>
        <a:xfrm>
          <a:off x="2634439" y="7991109"/>
          <a:ext cx="1061261" cy="4943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571500</xdr:colOff>
      <xdr:row>39</xdr:row>
      <xdr:rowOff>96611</xdr:rowOff>
    </xdr:from>
    <xdr:to>
      <xdr:col>13</xdr:col>
      <xdr:colOff>184961</xdr:colOff>
      <xdr:row>42</xdr:row>
      <xdr:rowOff>2124</xdr:rowOff>
    </xdr:to>
    <xdr:cxnSp macro="">
      <xdr:nvCxnSpPr>
        <xdr:cNvPr id="70" name="Straight Connector 69">
          <a:extLst>
            <a:ext uri="{FF2B5EF4-FFF2-40B4-BE49-F238E27FC236}">
              <a16:creationId xmlns:a16="http://schemas.microsoft.com/office/drawing/2014/main" id="{00000000-0008-0000-0100-000046000000}"/>
            </a:ext>
          </a:extLst>
        </xdr:cNvPr>
        <xdr:cNvCxnSpPr>
          <a:stCxn id="18" idx="6"/>
          <a:endCxn id="19" idx="1"/>
        </xdr:cNvCxnSpPr>
      </xdr:nvCxnSpPr>
      <xdr:spPr>
        <a:xfrm>
          <a:off x="4048125" y="8485415"/>
          <a:ext cx="1069425" cy="49062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571500</xdr:colOff>
      <xdr:row>36</xdr:row>
      <xdr:rowOff>196937</xdr:rowOff>
    </xdr:from>
    <xdr:to>
      <xdr:col>13</xdr:col>
      <xdr:colOff>184961</xdr:colOff>
      <xdr:row>39</xdr:row>
      <xdr:rowOff>96611</xdr:rowOff>
    </xdr:to>
    <xdr:cxnSp macro="">
      <xdr:nvCxnSpPr>
        <xdr:cNvPr id="72" name="Straight Connector 71">
          <a:extLst>
            <a:ext uri="{FF2B5EF4-FFF2-40B4-BE49-F238E27FC236}">
              <a16:creationId xmlns:a16="http://schemas.microsoft.com/office/drawing/2014/main" id="{00000000-0008-0000-0100-000048000000}"/>
            </a:ext>
          </a:extLst>
        </xdr:cNvPr>
        <xdr:cNvCxnSpPr>
          <a:stCxn id="18" idx="6"/>
          <a:endCxn id="21" idx="3"/>
        </xdr:cNvCxnSpPr>
      </xdr:nvCxnSpPr>
      <xdr:spPr>
        <a:xfrm flipV="1">
          <a:off x="4048125" y="7980223"/>
          <a:ext cx="1069425" cy="50519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121228</xdr:colOff>
      <xdr:row>53</xdr:row>
      <xdr:rowOff>155864</xdr:rowOff>
    </xdr:from>
    <xdr:to>
      <xdr:col>1</xdr:col>
      <xdr:colOff>473653</xdr:colOff>
      <xdr:row>55</xdr:row>
      <xdr:rowOff>89190</xdr:rowOff>
    </xdr:to>
    <xdr:sp macro="" textlink="">
      <xdr:nvSpPr>
        <xdr:cNvPr id="73" name="Oval 72">
          <a:extLst>
            <a:ext uri="{FF2B5EF4-FFF2-40B4-BE49-F238E27FC236}">
              <a16:creationId xmlns:a16="http://schemas.microsoft.com/office/drawing/2014/main" id="{00000000-0008-0000-0100-000049000000}"/>
            </a:ext>
          </a:extLst>
        </xdr:cNvPr>
        <xdr:cNvSpPr/>
      </xdr:nvSpPr>
      <xdr:spPr>
        <a:xfrm>
          <a:off x="476251" y="11308773"/>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133061</xdr:colOff>
      <xdr:row>53</xdr:row>
      <xdr:rowOff>165389</xdr:rowOff>
    </xdr:from>
    <xdr:to>
      <xdr:col>5</xdr:col>
      <xdr:colOff>485486</xdr:colOff>
      <xdr:row>55</xdr:row>
      <xdr:rowOff>98715</xdr:rowOff>
    </xdr:to>
    <xdr:sp macro="" textlink="">
      <xdr:nvSpPr>
        <xdr:cNvPr id="74" name="Oval 73">
          <a:extLst>
            <a:ext uri="{FF2B5EF4-FFF2-40B4-BE49-F238E27FC236}">
              <a16:creationId xmlns:a16="http://schemas.microsoft.com/office/drawing/2014/main" id="{00000000-0008-0000-0100-00004A000000}"/>
            </a:ext>
          </a:extLst>
        </xdr:cNvPr>
        <xdr:cNvSpPr/>
      </xdr:nvSpPr>
      <xdr:spPr>
        <a:xfrm>
          <a:off x="2923886" y="11347739"/>
          <a:ext cx="352425" cy="323851"/>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129887</xdr:colOff>
      <xdr:row>53</xdr:row>
      <xdr:rowOff>164523</xdr:rowOff>
    </xdr:from>
    <xdr:to>
      <xdr:col>6</xdr:col>
      <xdr:colOff>482312</xdr:colOff>
      <xdr:row>55</xdr:row>
      <xdr:rowOff>97849</xdr:rowOff>
    </xdr:to>
    <xdr:sp macro="" textlink="">
      <xdr:nvSpPr>
        <xdr:cNvPr id="75" name="Oval 74">
          <a:extLst>
            <a:ext uri="{FF2B5EF4-FFF2-40B4-BE49-F238E27FC236}">
              <a16:creationId xmlns:a16="http://schemas.microsoft.com/office/drawing/2014/main" id="{00000000-0008-0000-0100-00004B000000}"/>
            </a:ext>
          </a:extLst>
        </xdr:cNvPr>
        <xdr:cNvSpPr/>
      </xdr:nvSpPr>
      <xdr:spPr>
        <a:xfrm>
          <a:off x="3550228" y="11317432"/>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129887</xdr:colOff>
      <xdr:row>49</xdr:row>
      <xdr:rowOff>173182</xdr:rowOff>
    </xdr:from>
    <xdr:to>
      <xdr:col>3</xdr:col>
      <xdr:colOff>482312</xdr:colOff>
      <xdr:row>51</xdr:row>
      <xdr:rowOff>106508</xdr:rowOff>
    </xdr:to>
    <xdr:sp macro="" textlink="">
      <xdr:nvSpPr>
        <xdr:cNvPr id="76" name="Oval 75">
          <a:extLst>
            <a:ext uri="{FF2B5EF4-FFF2-40B4-BE49-F238E27FC236}">
              <a16:creationId xmlns:a16="http://schemas.microsoft.com/office/drawing/2014/main" id="{00000000-0008-0000-0100-00004C000000}"/>
            </a:ext>
          </a:extLst>
        </xdr:cNvPr>
        <xdr:cNvSpPr/>
      </xdr:nvSpPr>
      <xdr:spPr>
        <a:xfrm>
          <a:off x="1688523" y="10737273"/>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129887</xdr:colOff>
      <xdr:row>57</xdr:row>
      <xdr:rowOff>164523</xdr:rowOff>
    </xdr:from>
    <xdr:to>
      <xdr:col>3</xdr:col>
      <xdr:colOff>482312</xdr:colOff>
      <xdr:row>59</xdr:row>
      <xdr:rowOff>97849</xdr:rowOff>
    </xdr:to>
    <xdr:sp macro="" textlink="">
      <xdr:nvSpPr>
        <xdr:cNvPr id="77" name="Oval 76">
          <a:extLst>
            <a:ext uri="{FF2B5EF4-FFF2-40B4-BE49-F238E27FC236}">
              <a16:creationId xmlns:a16="http://schemas.microsoft.com/office/drawing/2014/main" id="{00000000-0008-0000-0100-00004D000000}"/>
            </a:ext>
          </a:extLst>
        </xdr:cNvPr>
        <xdr:cNvSpPr/>
      </xdr:nvSpPr>
      <xdr:spPr>
        <a:xfrm>
          <a:off x="1688523" y="12096750"/>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173182</xdr:colOff>
      <xdr:row>53</xdr:row>
      <xdr:rowOff>173182</xdr:rowOff>
    </xdr:from>
    <xdr:to>
      <xdr:col>10</xdr:col>
      <xdr:colOff>525607</xdr:colOff>
      <xdr:row>55</xdr:row>
      <xdr:rowOff>106508</xdr:rowOff>
    </xdr:to>
    <xdr:sp macro="" textlink="">
      <xdr:nvSpPr>
        <xdr:cNvPr id="78" name="Oval 77">
          <a:extLst>
            <a:ext uri="{FF2B5EF4-FFF2-40B4-BE49-F238E27FC236}">
              <a16:creationId xmlns:a16="http://schemas.microsoft.com/office/drawing/2014/main" id="{00000000-0008-0000-0100-00004E000000}"/>
            </a:ext>
          </a:extLst>
        </xdr:cNvPr>
        <xdr:cNvSpPr/>
      </xdr:nvSpPr>
      <xdr:spPr>
        <a:xfrm>
          <a:off x="6044046" y="11326091"/>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199159</xdr:colOff>
      <xdr:row>53</xdr:row>
      <xdr:rowOff>181842</xdr:rowOff>
    </xdr:from>
    <xdr:to>
      <xdr:col>11</xdr:col>
      <xdr:colOff>551584</xdr:colOff>
      <xdr:row>55</xdr:row>
      <xdr:rowOff>115168</xdr:rowOff>
    </xdr:to>
    <xdr:sp macro="" textlink="">
      <xdr:nvSpPr>
        <xdr:cNvPr id="79" name="Oval 78">
          <a:extLst>
            <a:ext uri="{FF2B5EF4-FFF2-40B4-BE49-F238E27FC236}">
              <a16:creationId xmlns:a16="http://schemas.microsoft.com/office/drawing/2014/main" id="{00000000-0008-0000-0100-00004F000000}"/>
            </a:ext>
          </a:extLst>
        </xdr:cNvPr>
        <xdr:cNvSpPr/>
      </xdr:nvSpPr>
      <xdr:spPr>
        <a:xfrm>
          <a:off x="6728114" y="11334751"/>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60613</xdr:colOff>
      <xdr:row>53</xdr:row>
      <xdr:rowOff>147204</xdr:rowOff>
    </xdr:from>
    <xdr:to>
      <xdr:col>15</xdr:col>
      <xdr:colOff>413038</xdr:colOff>
      <xdr:row>55</xdr:row>
      <xdr:rowOff>80530</xdr:rowOff>
    </xdr:to>
    <xdr:sp macro="" textlink="">
      <xdr:nvSpPr>
        <xdr:cNvPr id="80" name="Oval 79">
          <a:extLst>
            <a:ext uri="{FF2B5EF4-FFF2-40B4-BE49-F238E27FC236}">
              <a16:creationId xmlns:a16="http://schemas.microsoft.com/office/drawing/2014/main" id="{00000000-0008-0000-0100-000050000000}"/>
            </a:ext>
          </a:extLst>
        </xdr:cNvPr>
        <xdr:cNvSpPr/>
      </xdr:nvSpPr>
      <xdr:spPr>
        <a:xfrm>
          <a:off x="9282545" y="11300113"/>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112568</xdr:colOff>
      <xdr:row>53</xdr:row>
      <xdr:rowOff>138546</xdr:rowOff>
    </xdr:from>
    <xdr:to>
      <xdr:col>16</xdr:col>
      <xdr:colOff>464993</xdr:colOff>
      <xdr:row>55</xdr:row>
      <xdr:rowOff>71872</xdr:rowOff>
    </xdr:to>
    <xdr:sp macro="" textlink="">
      <xdr:nvSpPr>
        <xdr:cNvPr id="81" name="Oval 80">
          <a:extLst>
            <a:ext uri="{FF2B5EF4-FFF2-40B4-BE49-F238E27FC236}">
              <a16:creationId xmlns:a16="http://schemas.microsoft.com/office/drawing/2014/main" id="{00000000-0008-0000-0100-000051000000}"/>
            </a:ext>
          </a:extLst>
        </xdr:cNvPr>
        <xdr:cNvSpPr/>
      </xdr:nvSpPr>
      <xdr:spPr>
        <a:xfrm>
          <a:off x="9828068" y="11291455"/>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277091</xdr:colOff>
      <xdr:row>53</xdr:row>
      <xdr:rowOff>155863</xdr:rowOff>
    </xdr:from>
    <xdr:to>
      <xdr:col>20</xdr:col>
      <xdr:colOff>629516</xdr:colOff>
      <xdr:row>55</xdr:row>
      <xdr:rowOff>89189</xdr:rowOff>
    </xdr:to>
    <xdr:sp macro="" textlink="">
      <xdr:nvSpPr>
        <xdr:cNvPr id="82" name="Oval 81">
          <a:extLst>
            <a:ext uri="{FF2B5EF4-FFF2-40B4-BE49-F238E27FC236}">
              <a16:creationId xmlns:a16="http://schemas.microsoft.com/office/drawing/2014/main" id="{00000000-0008-0000-0100-000052000000}"/>
            </a:ext>
          </a:extLst>
        </xdr:cNvPr>
        <xdr:cNvSpPr/>
      </xdr:nvSpPr>
      <xdr:spPr>
        <a:xfrm>
          <a:off x="12607636" y="11308772"/>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129885</xdr:colOff>
      <xdr:row>49</xdr:row>
      <xdr:rowOff>164523</xdr:rowOff>
    </xdr:from>
    <xdr:to>
      <xdr:col>8</xdr:col>
      <xdr:colOff>482310</xdr:colOff>
      <xdr:row>51</xdr:row>
      <xdr:rowOff>97849</xdr:rowOff>
    </xdr:to>
    <xdr:sp macro="" textlink="">
      <xdr:nvSpPr>
        <xdr:cNvPr id="83" name="Oval 82">
          <a:extLst>
            <a:ext uri="{FF2B5EF4-FFF2-40B4-BE49-F238E27FC236}">
              <a16:creationId xmlns:a16="http://schemas.microsoft.com/office/drawing/2014/main" id="{00000000-0008-0000-0100-000053000000}"/>
            </a:ext>
          </a:extLst>
        </xdr:cNvPr>
        <xdr:cNvSpPr/>
      </xdr:nvSpPr>
      <xdr:spPr>
        <a:xfrm>
          <a:off x="4762499" y="10728614"/>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129885</xdr:colOff>
      <xdr:row>57</xdr:row>
      <xdr:rowOff>155864</xdr:rowOff>
    </xdr:from>
    <xdr:to>
      <xdr:col>8</xdr:col>
      <xdr:colOff>482310</xdr:colOff>
      <xdr:row>59</xdr:row>
      <xdr:rowOff>89190</xdr:rowOff>
    </xdr:to>
    <xdr:sp macro="" textlink="">
      <xdr:nvSpPr>
        <xdr:cNvPr id="84" name="Oval 83">
          <a:extLst>
            <a:ext uri="{FF2B5EF4-FFF2-40B4-BE49-F238E27FC236}">
              <a16:creationId xmlns:a16="http://schemas.microsoft.com/office/drawing/2014/main" id="{00000000-0008-0000-0100-000054000000}"/>
            </a:ext>
          </a:extLst>
        </xdr:cNvPr>
        <xdr:cNvSpPr/>
      </xdr:nvSpPr>
      <xdr:spPr>
        <a:xfrm>
          <a:off x="4762499" y="12088091"/>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121227</xdr:colOff>
      <xdr:row>49</xdr:row>
      <xdr:rowOff>173182</xdr:rowOff>
    </xdr:from>
    <xdr:to>
      <xdr:col>13</xdr:col>
      <xdr:colOff>473652</xdr:colOff>
      <xdr:row>51</xdr:row>
      <xdr:rowOff>106508</xdr:rowOff>
    </xdr:to>
    <xdr:sp macro="" textlink="">
      <xdr:nvSpPr>
        <xdr:cNvPr id="85" name="Oval 84">
          <a:extLst>
            <a:ext uri="{FF2B5EF4-FFF2-40B4-BE49-F238E27FC236}">
              <a16:creationId xmlns:a16="http://schemas.microsoft.com/office/drawing/2014/main" id="{00000000-0008-0000-0100-000055000000}"/>
            </a:ext>
          </a:extLst>
        </xdr:cNvPr>
        <xdr:cNvSpPr/>
      </xdr:nvSpPr>
      <xdr:spPr>
        <a:xfrm>
          <a:off x="8104909" y="10737273"/>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111702</xdr:colOff>
      <xdr:row>57</xdr:row>
      <xdr:rowOff>164523</xdr:rowOff>
    </xdr:from>
    <xdr:to>
      <xdr:col>13</xdr:col>
      <xdr:colOff>464127</xdr:colOff>
      <xdr:row>59</xdr:row>
      <xdr:rowOff>97849</xdr:rowOff>
    </xdr:to>
    <xdr:sp macro="" textlink="">
      <xdr:nvSpPr>
        <xdr:cNvPr id="86" name="Oval 85">
          <a:extLst>
            <a:ext uri="{FF2B5EF4-FFF2-40B4-BE49-F238E27FC236}">
              <a16:creationId xmlns:a16="http://schemas.microsoft.com/office/drawing/2014/main" id="{00000000-0008-0000-0100-000056000000}"/>
            </a:ext>
          </a:extLst>
        </xdr:cNvPr>
        <xdr:cNvSpPr/>
      </xdr:nvSpPr>
      <xdr:spPr>
        <a:xfrm>
          <a:off x="8103177" y="12127923"/>
          <a:ext cx="352425" cy="323851"/>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155864</xdr:colOff>
      <xdr:row>49</xdr:row>
      <xdr:rowOff>181841</xdr:rowOff>
    </xdr:from>
    <xdr:to>
      <xdr:col>18</xdr:col>
      <xdr:colOff>508289</xdr:colOff>
      <xdr:row>51</xdr:row>
      <xdr:rowOff>115167</xdr:rowOff>
    </xdr:to>
    <xdr:sp macro="" textlink="">
      <xdr:nvSpPr>
        <xdr:cNvPr id="87" name="Oval 86">
          <a:extLst>
            <a:ext uri="{FF2B5EF4-FFF2-40B4-BE49-F238E27FC236}">
              <a16:creationId xmlns:a16="http://schemas.microsoft.com/office/drawing/2014/main" id="{00000000-0008-0000-0100-000057000000}"/>
            </a:ext>
          </a:extLst>
        </xdr:cNvPr>
        <xdr:cNvSpPr/>
      </xdr:nvSpPr>
      <xdr:spPr>
        <a:xfrm>
          <a:off x="11170228" y="10745932"/>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155864</xdr:colOff>
      <xdr:row>57</xdr:row>
      <xdr:rowOff>173182</xdr:rowOff>
    </xdr:from>
    <xdr:to>
      <xdr:col>18</xdr:col>
      <xdr:colOff>508289</xdr:colOff>
      <xdr:row>59</xdr:row>
      <xdr:rowOff>106508</xdr:rowOff>
    </xdr:to>
    <xdr:sp macro="" textlink="">
      <xdr:nvSpPr>
        <xdr:cNvPr id="88" name="Oval 87">
          <a:extLst>
            <a:ext uri="{FF2B5EF4-FFF2-40B4-BE49-F238E27FC236}">
              <a16:creationId xmlns:a16="http://schemas.microsoft.com/office/drawing/2014/main" id="{00000000-0008-0000-0100-000058000000}"/>
            </a:ext>
          </a:extLst>
        </xdr:cNvPr>
        <xdr:cNvSpPr/>
      </xdr:nvSpPr>
      <xdr:spPr>
        <a:xfrm>
          <a:off x="11170228" y="12105409"/>
          <a:ext cx="352425" cy="32298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490971</xdr:colOff>
      <xdr:row>54</xdr:row>
      <xdr:rowOff>170153</xdr:rowOff>
    </xdr:from>
    <xdr:to>
      <xdr:col>5</xdr:col>
      <xdr:colOff>147204</xdr:colOff>
      <xdr:row>54</xdr:row>
      <xdr:rowOff>170153</xdr:rowOff>
    </xdr:to>
    <xdr:cxnSp macro="">
      <xdr:nvCxnSpPr>
        <xdr:cNvPr id="90" name="Straight Connector 89">
          <a:extLst>
            <a:ext uri="{FF2B5EF4-FFF2-40B4-BE49-F238E27FC236}">
              <a16:creationId xmlns:a16="http://schemas.microsoft.com/office/drawing/2014/main" id="{00000000-0008-0000-0100-00005A000000}"/>
            </a:ext>
          </a:extLst>
        </xdr:cNvPr>
        <xdr:cNvCxnSpPr/>
      </xdr:nvCxnSpPr>
      <xdr:spPr>
        <a:xfrm>
          <a:off x="845994" y="11513562"/>
          <a:ext cx="2089437"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510886</xdr:colOff>
      <xdr:row>54</xdr:row>
      <xdr:rowOff>164523</xdr:rowOff>
    </xdr:from>
    <xdr:to>
      <xdr:col>10</xdr:col>
      <xdr:colOff>149800</xdr:colOff>
      <xdr:row>54</xdr:row>
      <xdr:rowOff>164523</xdr:rowOff>
    </xdr:to>
    <xdr:cxnSp macro="">
      <xdr:nvCxnSpPr>
        <xdr:cNvPr id="93" name="Straight Connector 92">
          <a:extLst>
            <a:ext uri="{FF2B5EF4-FFF2-40B4-BE49-F238E27FC236}">
              <a16:creationId xmlns:a16="http://schemas.microsoft.com/office/drawing/2014/main" id="{00000000-0008-0000-0100-00005D000000}"/>
            </a:ext>
          </a:extLst>
        </xdr:cNvPr>
        <xdr:cNvCxnSpPr/>
      </xdr:nvCxnSpPr>
      <xdr:spPr>
        <a:xfrm>
          <a:off x="3931227" y="11507932"/>
          <a:ext cx="2089437"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11</xdr:col>
      <xdr:colOff>606137</xdr:colOff>
      <xdr:row>54</xdr:row>
      <xdr:rowOff>181840</xdr:rowOff>
    </xdr:from>
    <xdr:to>
      <xdr:col>15</xdr:col>
      <xdr:colOff>2597</xdr:colOff>
      <xdr:row>54</xdr:row>
      <xdr:rowOff>181840</xdr:rowOff>
    </xdr:to>
    <xdr:cxnSp macro="">
      <xdr:nvCxnSpPr>
        <xdr:cNvPr id="94" name="Straight Connector 93">
          <a:extLst>
            <a:ext uri="{FF2B5EF4-FFF2-40B4-BE49-F238E27FC236}">
              <a16:creationId xmlns:a16="http://schemas.microsoft.com/office/drawing/2014/main" id="{00000000-0008-0000-0100-00005E000000}"/>
            </a:ext>
          </a:extLst>
        </xdr:cNvPr>
        <xdr:cNvCxnSpPr/>
      </xdr:nvCxnSpPr>
      <xdr:spPr>
        <a:xfrm>
          <a:off x="7135092" y="11525249"/>
          <a:ext cx="2089437"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484908</xdr:colOff>
      <xdr:row>54</xdr:row>
      <xdr:rowOff>155864</xdr:rowOff>
    </xdr:from>
    <xdr:to>
      <xdr:col>20</xdr:col>
      <xdr:colOff>225136</xdr:colOff>
      <xdr:row>54</xdr:row>
      <xdr:rowOff>173184</xdr:rowOff>
    </xdr:to>
    <xdr:cxnSp macro="">
      <xdr:nvCxnSpPr>
        <xdr:cNvPr id="95" name="Straight Connector 94">
          <a:extLst>
            <a:ext uri="{FF2B5EF4-FFF2-40B4-BE49-F238E27FC236}">
              <a16:creationId xmlns:a16="http://schemas.microsoft.com/office/drawing/2014/main" id="{00000000-0008-0000-0100-00005F000000}"/>
            </a:ext>
          </a:extLst>
        </xdr:cNvPr>
        <xdr:cNvCxnSpPr/>
      </xdr:nvCxnSpPr>
      <xdr:spPr>
        <a:xfrm flipV="1">
          <a:off x="10243703" y="11499273"/>
          <a:ext cx="2311978" cy="1732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422042</xdr:colOff>
      <xdr:row>55</xdr:row>
      <xdr:rowOff>41890</xdr:rowOff>
    </xdr:from>
    <xdr:to>
      <xdr:col>3</xdr:col>
      <xdr:colOff>129887</xdr:colOff>
      <xdr:row>58</xdr:row>
      <xdr:rowOff>126857</xdr:rowOff>
    </xdr:to>
    <xdr:cxnSp macro="">
      <xdr:nvCxnSpPr>
        <xdr:cNvPr id="98" name="Straight Connector 97">
          <a:extLst>
            <a:ext uri="{FF2B5EF4-FFF2-40B4-BE49-F238E27FC236}">
              <a16:creationId xmlns:a16="http://schemas.microsoft.com/office/drawing/2014/main" id="{00000000-0008-0000-0100-000062000000}"/>
            </a:ext>
          </a:extLst>
        </xdr:cNvPr>
        <xdr:cNvCxnSpPr>
          <a:stCxn id="73" idx="5"/>
          <a:endCxn id="77" idx="2"/>
        </xdr:cNvCxnSpPr>
      </xdr:nvCxnSpPr>
      <xdr:spPr>
        <a:xfrm>
          <a:off x="777065" y="11584458"/>
          <a:ext cx="911458" cy="673785"/>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424295</xdr:colOff>
      <xdr:row>55</xdr:row>
      <xdr:rowOff>60614</xdr:rowOff>
    </xdr:from>
    <xdr:to>
      <xdr:col>8</xdr:col>
      <xdr:colOff>129885</xdr:colOff>
      <xdr:row>58</xdr:row>
      <xdr:rowOff>118198</xdr:rowOff>
    </xdr:to>
    <xdr:cxnSp macro="">
      <xdr:nvCxnSpPr>
        <xdr:cNvPr id="103" name="Straight Connector 102">
          <a:extLst>
            <a:ext uri="{FF2B5EF4-FFF2-40B4-BE49-F238E27FC236}">
              <a16:creationId xmlns:a16="http://schemas.microsoft.com/office/drawing/2014/main" id="{00000000-0008-0000-0100-000067000000}"/>
            </a:ext>
          </a:extLst>
        </xdr:cNvPr>
        <xdr:cNvCxnSpPr>
          <a:endCxn id="84" idx="2"/>
        </xdr:cNvCxnSpPr>
      </xdr:nvCxnSpPr>
      <xdr:spPr>
        <a:xfrm>
          <a:off x="3844636" y="11603182"/>
          <a:ext cx="917863" cy="646402"/>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11</xdr:col>
      <xdr:colOff>518679</xdr:colOff>
      <xdr:row>55</xdr:row>
      <xdr:rowOff>51954</xdr:rowOff>
    </xdr:from>
    <xdr:to>
      <xdr:col>13</xdr:col>
      <xdr:colOff>111702</xdr:colOff>
      <xdr:row>58</xdr:row>
      <xdr:rowOff>126857</xdr:rowOff>
    </xdr:to>
    <xdr:cxnSp macro="">
      <xdr:nvCxnSpPr>
        <xdr:cNvPr id="105" name="Straight Connector 104">
          <a:extLst>
            <a:ext uri="{FF2B5EF4-FFF2-40B4-BE49-F238E27FC236}">
              <a16:creationId xmlns:a16="http://schemas.microsoft.com/office/drawing/2014/main" id="{00000000-0008-0000-0100-000069000000}"/>
            </a:ext>
          </a:extLst>
        </xdr:cNvPr>
        <xdr:cNvCxnSpPr>
          <a:endCxn id="86" idx="2"/>
        </xdr:cNvCxnSpPr>
      </xdr:nvCxnSpPr>
      <xdr:spPr>
        <a:xfrm>
          <a:off x="7052829" y="11624829"/>
          <a:ext cx="1050348" cy="66545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406977</xdr:colOff>
      <xdr:row>55</xdr:row>
      <xdr:rowOff>34637</xdr:rowOff>
    </xdr:from>
    <xdr:to>
      <xdr:col>18</xdr:col>
      <xdr:colOff>155864</xdr:colOff>
      <xdr:row>58</xdr:row>
      <xdr:rowOff>135516</xdr:rowOff>
    </xdr:to>
    <xdr:cxnSp macro="">
      <xdr:nvCxnSpPr>
        <xdr:cNvPr id="107" name="Straight Connector 106">
          <a:extLst>
            <a:ext uri="{FF2B5EF4-FFF2-40B4-BE49-F238E27FC236}">
              <a16:creationId xmlns:a16="http://schemas.microsoft.com/office/drawing/2014/main" id="{00000000-0008-0000-0100-00006B000000}"/>
            </a:ext>
          </a:extLst>
        </xdr:cNvPr>
        <xdr:cNvCxnSpPr>
          <a:endCxn id="88" idx="2"/>
        </xdr:cNvCxnSpPr>
      </xdr:nvCxnSpPr>
      <xdr:spPr>
        <a:xfrm>
          <a:off x="10122477" y="11577205"/>
          <a:ext cx="1047751" cy="689697"/>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xdr:col>
      <xdr:colOff>482312</xdr:colOff>
      <xdr:row>55</xdr:row>
      <xdr:rowOff>51288</xdr:rowOff>
    </xdr:from>
    <xdr:to>
      <xdr:col>5</xdr:col>
      <xdr:colOff>184672</xdr:colOff>
      <xdr:row>58</xdr:row>
      <xdr:rowOff>126424</xdr:rowOff>
    </xdr:to>
    <xdr:cxnSp macro="">
      <xdr:nvCxnSpPr>
        <xdr:cNvPr id="109" name="Straight Connector 108">
          <a:extLst>
            <a:ext uri="{FF2B5EF4-FFF2-40B4-BE49-F238E27FC236}">
              <a16:creationId xmlns:a16="http://schemas.microsoft.com/office/drawing/2014/main" id="{00000000-0008-0000-0100-00006D000000}"/>
            </a:ext>
          </a:extLst>
        </xdr:cNvPr>
        <xdr:cNvCxnSpPr>
          <a:stCxn id="77" idx="6"/>
          <a:endCxn id="74" idx="3"/>
        </xdr:cNvCxnSpPr>
      </xdr:nvCxnSpPr>
      <xdr:spPr>
        <a:xfrm flipV="1">
          <a:off x="2044412" y="11624163"/>
          <a:ext cx="931085" cy="665686"/>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458931</xdr:colOff>
      <xdr:row>55</xdr:row>
      <xdr:rowOff>59208</xdr:rowOff>
    </xdr:from>
    <xdr:to>
      <xdr:col>10</xdr:col>
      <xdr:colOff>224793</xdr:colOff>
      <xdr:row>58</xdr:row>
      <xdr:rowOff>77933</xdr:rowOff>
    </xdr:to>
    <xdr:cxnSp macro="">
      <xdr:nvCxnSpPr>
        <xdr:cNvPr id="113" name="Straight Connector 112">
          <a:extLst>
            <a:ext uri="{FF2B5EF4-FFF2-40B4-BE49-F238E27FC236}">
              <a16:creationId xmlns:a16="http://schemas.microsoft.com/office/drawing/2014/main" id="{00000000-0008-0000-0100-000071000000}"/>
            </a:ext>
          </a:extLst>
        </xdr:cNvPr>
        <xdr:cNvCxnSpPr>
          <a:endCxn id="78" idx="3"/>
        </xdr:cNvCxnSpPr>
      </xdr:nvCxnSpPr>
      <xdr:spPr>
        <a:xfrm flipV="1">
          <a:off x="5091545" y="11601776"/>
          <a:ext cx="1004112" cy="60754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13</xdr:col>
      <xdr:colOff>464127</xdr:colOff>
      <xdr:row>55</xdr:row>
      <xdr:rowOff>33103</xdr:rowOff>
    </xdr:from>
    <xdr:to>
      <xdr:col>15</xdr:col>
      <xdr:colOff>112224</xdr:colOff>
      <xdr:row>58</xdr:row>
      <xdr:rowOff>126424</xdr:rowOff>
    </xdr:to>
    <xdr:cxnSp macro="">
      <xdr:nvCxnSpPr>
        <xdr:cNvPr id="117" name="Straight Connector 116">
          <a:extLst>
            <a:ext uri="{FF2B5EF4-FFF2-40B4-BE49-F238E27FC236}">
              <a16:creationId xmlns:a16="http://schemas.microsoft.com/office/drawing/2014/main" id="{00000000-0008-0000-0100-000075000000}"/>
            </a:ext>
          </a:extLst>
        </xdr:cNvPr>
        <xdr:cNvCxnSpPr>
          <a:stCxn id="86" idx="6"/>
          <a:endCxn id="80" idx="3"/>
        </xdr:cNvCxnSpPr>
      </xdr:nvCxnSpPr>
      <xdr:spPr>
        <a:xfrm flipV="1">
          <a:off x="8455602" y="11605978"/>
          <a:ext cx="886347" cy="68387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18</xdr:col>
      <xdr:colOff>508289</xdr:colOff>
      <xdr:row>55</xdr:row>
      <xdr:rowOff>43296</xdr:rowOff>
    </xdr:from>
    <xdr:to>
      <xdr:col>20</xdr:col>
      <xdr:colOff>380657</xdr:colOff>
      <xdr:row>58</xdr:row>
      <xdr:rowOff>135516</xdr:rowOff>
    </xdr:to>
    <xdr:cxnSp macro="">
      <xdr:nvCxnSpPr>
        <xdr:cNvPr id="120" name="Straight Connector 119">
          <a:extLst>
            <a:ext uri="{FF2B5EF4-FFF2-40B4-BE49-F238E27FC236}">
              <a16:creationId xmlns:a16="http://schemas.microsoft.com/office/drawing/2014/main" id="{00000000-0008-0000-0100-000078000000}"/>
            </a:ext>
          </a:extLst>
        </xdr:cNvPr>
        <xdr:cNvCxnSpPr>
          <a:stCxn id="88" idx="6"/>
        </xdr:cNvCxnSpPr>
      </xdr:nvCxnSpPr>
      <xdr:spPr>
        <a:xfrm flipV="1">
          <a:off x="11522653" y="11585864"/>
          <a:ext cx="1309777" cy="681038"/>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422042</xdr:colOff>
      <xdr:row>50</xdr:row>
      <xdr:rowOff>139845</xdr:rowOff>
    </xdr:from>
    <xdr:to>
      <xdr:col>3</xdr:col>
      <xdr:colOff>129887</xdr:colOff>
      <xdr:row>54</xdr:row>
      <xdr:rowOff>12664</xdr:rowOff>
    </xdr:to>
    <xdr:cxnSp macro="">
      <xdr:nvCxnSpPr>
        <xdr:cNvPr id="122" name="Straight Connector 121">
          <a:extLst>
            <a:ext uri="{FF2B5EF4-FFF2-40B4-BE49-F238E27FC236}">
              <a16:creationId xmlns:a16="http://schemas.microsoft.com/office/drawing/2014/main" id="{00000000-0008-0000-0100-00007A000000}"/>
            </a:ext>
          </a:extLst>
        </xdr:cNvPr>
        <xdr:cNvCxnSpPr>
          <a:stCxn id="73" idx="7"/>
          <a:endCxn id="76" idx="2"/>
        </xdr:cNvCxnSpPr>
      </xdr:nvCxnSpPr>
      <xdr:spPr>
        <a:xfrm flipV="1">
          <a:off x="777065" y="10703936"/>
          <a:ext cx="911458" cy="652137"/>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430701</xdr:colOff>
      <xdr:row>50</xdr:row>
      <xdr:rowOff>131186</xdr:rowOff>
    </xdr:from>
    <xdr:to>
      <xdr:col>8</xdr:col>
      <xdr:colOff>129885</xdr:colOff>
      <xdr:row>54</xdr:row>
      <xdr:rowOff>21323</xdr:rowOff>
    </xdr:to>
    <xdr:cxnSp macro="">
      <xdr:nvCxnSpPr>
        <xdr:cNvPr id="125" name="Straight Connector 124">
          <a:extLst>
            <a:ext uri="{FF2B5EF4-FFF2-40B4-BE49-F238E27FC236}">
              <a16:creationId xmlns:a16="http://schemas.microsoft.com/office/drawing/2014/main" id="{00000000-0008-0000-0100-00007D000000}"/>
            </a:ext>
          </a:extLst>
        </xdr:cNvPr>
        <xdr:cNvCxnSpPr>
          <a:stCxn id="75" idx="7"/>
          <a:endCxn id="83" idx="2"/>
        </xdr:cNvCxnSpPr>
      </xdr:nvCxnSpPr>
      <xdr:spPr>
        <a:xfrm flipV="1">
          <a:off x="3851042" y="10695277"/>
          <a:ext cx="911457" cy="669455"/>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499973</xdr:colOff>
      <xdr:row>50</xdr:row>
      <xdr:rowOff>139845</xdr:rowOff>
    </xdr:from>
    <xdr:to>
      <xdr:col>13</xdr:col>
      <xdr:colOff>121227</xdr:colOff>
      <xdr:row>54</xdr:row>
      <xdr:rowOff>38642</xdr:rowOff>
    </xdr:to>
    <xdr:cxnSp macro="">
      <xdr:nvCxnSpPr>
        <xdr:cNvPr id="128" name="Straight Connector 127">
          <a:extLst>
            <a:ext uri="{FF2B5EF4-FFF2-40B4-BE49-F238E27FC236}">
              <a16:creationId xmlns:a16="http://schemas.microsoft.com/office/drawing/2014/main" id="{00000000-0008-0000-0100-000080000000}"/>
            </a:ext>
          </a:extLst>
        </xdr:cNvPr>
        <xdr:cNvCxnSpPr>
          <a:stCxn id="79" idx="7"/>
          <a:endCxn id="85" idx="2"/>
        </xdr:cNvCxnSpPr>
      </xdr:nvCxnSpPr>
      <xdr:spPr>
        <a:xfrm flipV="1">
          <a:off x="7028928" y="10703936"/>
          <a:ext cx="1075981" cy="678115"/>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441614</xdr:colOff>
      <xdr:row>50</xdr:row>
      <xdr:rowOff>148504</xdr:rowOff>
    </xdr:from>
    <xdr:to>
      <xdr:col>18</xdr:col>
      <xdr:colOff>155864</xdr:colOff>
      <xdr:row>53</xdr:row>
      <xdr:rowOff>188876</xdr:rowOff>
    </xdr:to>
    <xdr:cxnSp macro="">
      <xdr:nvCxnSpPr>
        <xdr:cNvPr id="131" name="Straight Connector 130">
          <a:extLst>
            <a:ext uri="{FF2B5EF4-FFF2-40B4-BE49-F238E27FC236}">
              <a16:creationId xmlns:a16="http://schemas.microsoft.com/office/drawing/2014/main" id="{00000000-0008-0000-0100-000083000000}"/>
            </a:ext>
          </a:extLst>
        </xdr:cNvPr>
        <xdr:cNvCxnSpPr>
          <a:endCxn id="87" idx="2"/>
        </xdr:cNvCxnSpPr>
      </xdr:nvCxnSpPr>
      <xdr:spPr>
        <a:xfrm flipV="1">
          <a:off x="10200409" y="10712595"/>
          <a:ext cx="1013114" cy="629190"/>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482312</xdr:colOff>
      <xdr:row>50</xdr:row>
      <xdr:rowOff>139845</xdr:rowOff>
    </xdr:from>
    <xdr:to>
      <xdr:col>5</xdr:col>
      <xdr:colOff>203722</xdr:colOff>
      <xdr:row>54</xdr:row>
      <xdr:rowOff>6603</xdr:rowOff>
    </xdr:to>
    <xdr:cxnSp macro="">
      <xdr:nvCxnSpPr>
        <xdr:cNvPr id="133" name="Straight Connector 132">
          <a:extLst>
            <a:ext uri="{FF2B5EF4-FFF2-40B4-BE49-F238E27FC236}">
              <a16:creationId xmlns:a16="http://schemas.microsoft.com/office/drawing/2014/main" id="{00000000-0008-0000-0100-000085000000}"/>
            </a:ext>
          </a:extLst>
        </xdr:cNvPr>
        <xdr:cNvCxnSpPr>
          <a:stCxn id="76" idx="6"/>
        </xdr:cNvCxnSpPr>
      </xdr:nvCxnSpPr>
      <xdr:spPr>
        <a:xfrm>
          <a:off x="2044412" y="10731645"/>
          <a:ext cx="950135" cy="647808"/>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482310</xdr:colOff>
      <xdr:row>50</xdr:row>
      <xdr:rowOff>131186</xdr:rowOff>
    </xdr:from>
    <xdr:to>
      <xdr:col>10</xdr:col>
      <xdr:colOff>224793</xdr:colOff>
      <xdr:row>54</xdr:row>
      <xdr:rowOff>29982</xdr:rowOff>
    </xdr:to>
    <xdr:cxnSp macro="">
      <xdr:nvCxnSpPr>
        <xdr:cNvPr id="136" name="Straight Connector 135">
          <a:extLst>
            <a:ext uri="{FF2B5EF4-FFF2-40B4-BE49-F238E27FC236}">
              <a16:creationId xmlns:a16="http://schemas.microsoft.com/office/drawing/2014/main" id="{00000000-0008-0000-0100-000088000000}"/>
            </a:ext>
          </a:extLst>
        </xdr:cNvPr>
        <xdr:cNvCxnSpPr>
          <a:stCxn id="83" idx="6"/>
          <a:endCxn id="78" idx="1"/>
        </xdr:cNvCxnSpPr>
      </xdr:nvCxnSpPr>
      <xdr:spPr>
        <a:xfrm>
          <a:off x="5114924" y="10695277"/>
          <a:ext cx="980733" cy="678114"/>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473652</xdr:colOff>
      <xdr:row>50</xdr:row>
      <xdr:rowOff>139845</xdr:rowOff>
    </xdr:from>
    <xdr:to>
      <xdr:col>15</xdr:col>
      <xdr:colOff>112224</xdr:colOff>
      <xdr:row>54</xdr:row>
      <xdr:rowOff>4004</xdr:rowOff>
    </xdr:to>
    <xdr:cxnSp macro="">
      <xdr:nvCxnSpPr>
        <xdr:cNvPr id="139" name="Straight Connector 138">
          <a:extLst>
            <a:ext uri="{FF2B5EF4-FFF2-40B4-BE49-F238E27FC236}">
              <a16:creationId xmlns:a16="http://schemas.microsoft.com/office/drawing/2014/main" id="{00000000-0008-0000-0100-00008B000000}"/>
            </a:ext>
          </a:extLst>
        </xdr:cNvPr>
        <xdr:cNvCxnSpPr>
          <a:stCxn id="85" idx="6"/>
          <a:endCxn id="80" idx="1"/>
        </xdr:cNvCxnSpPr>
      </xdr:nvCxnSpPr>
      <xdr:spPr>
        <a:xfrm>
          <a:off x="8457334" y="10703936"/>
          <a:ext cx="876822" cy="643477"/>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508289</xdr:colOff>
      <xdr:row>50</xdr:row>
      <xdr:rowOff>148504</xdr:rowOff>
    </xdr:from>
    <xdr:to>
      <xdr:col>20</xdr:col>
      <xdr:colOff>328702</xdr:colOff>
      <xdr:row>54</xdr:row>
      <xdr:rowOff>12663</xdr:rowOff>
    </xdr:to>
    <xdr:cxnSp macro="">
      <xdr:nvCxnSpPr>
        <xdr:cNvPr id="142" name="Straight Connector 141">
          <a:extLst>
            <a:ext uri="{FF2B5EF4-FFF2-40B4-BE49-F238E27FC236}">
              <a16:creationId xmlns:a16="http://schemas.microsoft.com/office/drawing/2014/main" id="{00000000-0008-0000-0100-00008E000000}"/>
            </a:ext>
          </a:extLst>
        </xdr:cNvPr>
        <xdr:cNvCxnSpPr>
          <a:stCxn id="87" idx="6"/>
          <a:endCxn id="82" idx="1"/>
        </xdr:cNvCxnSpPr>
      </xdr:nvCxnSpPr>
      <xdr:spPr>
        <a:xfrm>
          <a:off x="11565948" y="10712595"/>
          <a:ext cx="1093299" cy="643477"/>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485486</xdr:colOff>
      <xdr:row>54</xdr:row>
      <xdr:rowOff>135949</xdr:rowOff>
    </xdr:from>
    <xdr:to>
      <xdr:col>6</xdr:col>
      <xdr:colOff>129887</xdr:colOff>
      <xdr:row>54</xdr:row>
      <xdr:rowOff>136815</xdr:rowOff>
    </xdr:to>
    <xdr:cxnSp macro="">
      <xdr:nvCxnSpPr>
        <xdr:cNvPr id="146" name="Straight Connector 145">
          <a:extLst>
            <a:ext uri="{FF2B5EF4-FFF2-40B4-BE49-F238E27FC236}">
              <a16:creationId xmlns:a16="http://schemas.microsoft.com/office/drawing/2014/main" id="{00000000-0008-0000-0100-000092000000}"/>
            </a:ext>
          </a:extLst>
        </xdr:cNvPr>
        <xdr:cNvCxnSpPr>
          <a:stCxn id="74" idx="6"/>
          <a:endCxn id="75" idx="2"/>
        </xdr:cNvCxnSpPr>
      </xdr:nvCxnSpPr>
      <xdr:spPr>
        <a:xfrm flipV="1">
          <a:off x="3276311" y="11508799"/>
          <a:ext cx="273051" cy="866"/>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528205</xdr:colOff>
      <xdr:row>54</xdr:row>
      <xdr:rowOff>152835</xdr:rowOff>
    </xdr:from>
    <xdr:to>
      <xdr:col>11</xdr:col>
      <xdr:colOff>199159</xdr:colOff>
      <xdr:row>54</xdr:row>
      <xdr:rowOff>155863</xdr:rowOff>
    </xdr:to>
    <xdr:cxnSp macro="">
      <xdr:nvCxnSpPr>
        <xdr:cNvPr id="150" name="Straight Connector 149">
          <a:extLst>
            <a:ext uri="{FF2B5EF4-FFF2-40B4-BE49-F238E27FC236}">
              <a16:creationId xmlns:a16="http://schemas.microsoft.com/office/drawing/2014/main" id="{00000000-0008-0000-0100-000096000000}"/>
            </a:ext>
          </a:extLst>
        </xdr:cNvPr>
        <xdr:cNvCxnSpPr>
          <a:endCxn id="79" idx="2"/>
        </xdr:cNvCxnSpPr>
      </xdr:nvCxnSpPr>
      <xdr:spPr>
        <a:xfrm flipV="1">
          <a:off x="6399069" y="11496244"/>
          <a:ext cx="329045" cy="3028"/>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424295</xdr:colOff>
      <xdr:row>54</xdr:row>
      <xdr:rowOff>103908</xdr:rowOff>
    </xdr:from>
    <xdr:to>
      <xdr:col>16</xdr:col>
      <xdr:colOff>112568</xdr:colOff>
      <xdr:row>54</xdr:row>
      <xdr:rowOff>109539</xdr:rowOff>
    </xdr:to>
    <xdr:cxnSp macro="">
      <xdr:nvCxnSpPr>
        <xdr:cNvPr id="152" name="Straight Connector 151">
          <a:extLst>
            <a:ext uri="{FF2B5EF4-FFF2-40B4-BE49-F238E27FC236}">
              <a16:creationId xmlns:a16="http://schemas.microsoft.com/office/drawing/2014/main" id="{00000000-0008-0000-0100-000098000000}"/>
            </a:ext>
          </a:extLst>
        </xdr:cNvPr>
        <xdr:cNvCxnSpPr>
          <a:endCxn id="81" idx="2"/>
        </xdr:cNvCxnSpPr>
      </xdr:nvCxnSpPr>
      <xdr:spPr>
        <a:xfrm>
          <a:off x="9646227" y="11447317"/>
          <a:ext cx="181841" cy="5631"/>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132195</xdr:colOff>
      <xdr:row>52</xdr:row>
      <xdr:rowOff>190500</xdr:rowOff>
    </xdr:from>
    <xdr:to>
      <xdr:col>4</xdr:col>
      <xdr:colOff>487218</xdr:colOff>
      <xdr:row>52</xdr:row>
      <xdr:rowOff>199160</xdr:rowOff>
    </xdr:to>
    <xdr:cxnSp macro="">
      <xdr:nvCxnSpPr>
        <xdr:cNvPr id="156" name="Straight Connector 155">
          <a:extLst>
            <a:ext uri="{FF2B5EF4-FFF2-40B4-BE49-F238E27FC236}">
              <a16:creationId xmlns:a16="http://schemas.microsoft.com/office/drawing/2014/main" id="{00000000-0008-0000-0100-00009C000000}"/>
            </a:ext>
          </a:extLst>
        </xdr:cNvPr>
        <xdr:cNvCxnSpPr/>
      </xdr:nvCxnSpPr>
      <xdr:spPr>
        <a:xfrm flipV="1">
          <a:off x="1084695" y="11172825"/>
          <a:ext cx="1574223" cy="866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173182</xdr:colOff>
      <xdr:row>52</xdr:row>
      <xdr:rowOff>190500</xdr:rowOff>
    </xdr:from>
    <xdr:to>
      <xdr:col>9</xdr:col>
      <xdr:colOff>510886</xdr:colOff>
      <xdr:row>52</xdr:row>
      <xdr:rowOff>190500</xdr:rowOff>
    </xdr:to>
    <xdr:cxnSp macro="">
      <xdr:nvCxnSpPr>
        <xdr:cNvPr id="159" name="Straight Connector 158">
          <a:extLst>
            <a:ext uri="{FF2B5EF4-FFF2-40B4-BE49-F238E27FC236}">
              <a16:creationId xmlns:a16="http://schemas.microsoft.com/office/drawing/2014/main" id="{00000000-0008-0000-0100-00009F000000}"/>
            </a:ext>
          </a:extLst>
        </xdr:cNvPr>
        <xdr:cNvCxnSpPr/>
      </xdr:nvCxnSpPr>
      <xdr:spPr>
        <a:xfrm>
          <a:off x="4199659" y="11144250"/>
          <a:ext cx="1549977"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112568</xdr:colOff>
      <xdr:row>52</xdr:row>
      <xdr:rowOff>190500</xdr:rowOff>
    </xdr:from>
    <xdr:to>
      <xdr:col>14</xdr:col>
      <xdr:colOff>484909</xdr:colOff>
      <xdr:row>52</xdr:row>
      <xdr:rowOff>190500</xdr:rowOff>
    </xdr:to>
    <xdr:cxnSp macro="">
      <xdr:nvCxnSpPr>
        <xdr:cNvPr id="161" name="Straight Connector 160">
          <a:extLst>
            <a:ext uri="{FF2B5EF4-FFF2-40B4-BE49-F238E27FC236}">
              <a16:creationId xmlns:a16="http://schemas.microsoft.com/office/drawing/2014/main" id="{00000000-0008-0000-0100-0000A1000000}"/>
            </a:ext>
          </a:extLst>
        </xdr:cNvPr>
        <xdr:cNvCxnSpPr/>
      </xdr:nvCxnSpPr>
      <xdr:spPr>
        <a:xfrm>
          <a:off x="7412182" y="11144250"/>
          <a:ext cx="166254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199159</xdr:colOff>
      <xdr:row>52</xdr:row>
      <xdr:rowOff>181841</xdr:rowOff>
    </xdr:from>
    <xdr:to>
      <xdr:col>19</xdr:col>
      <xdr:colOff>597477</xdr:colOff>
      <xdr:row>53</xdr:row>
      <xdr:rowOff>0</xdr:rowOff>
    </xdr:to>
    <xdr:cxnSp macro="">
      <xdr:nvCxnSpPr>
        <xdr:cNvPr id="162" name="Straight Connector 161">
          <a:extLst>
            <a:ext uri="{FF2B5EF4-FFF2-40B4-BE49-F238E27FC236}">
              <a16:creationId xmlns:a16="http://schemas.microsoft.com/office/drawing/2014/main" id="{00000000-0008-0000-0100-0000A2000000}"/>
            </a:ext>
          </a:extLst>
        </xdr:cNvPr>
        <xdr:cNvCxnSpPr/>
      </xdr:nvCxnSpPr>
      <xdr:spPr>
        <a:xfrm>
          <a:off x="10564091" y="11135591"/>
          <a:ext cx="1757795" cy="1731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147205</xdr:colOff>
      <xdr:row>50</xdr:row>
      <xdr:rowOff>34637</xdr:rowOff>
    </xdr:from>
    <xdr:to>
      <xdr:col>9</xdr:col>
      <xdr:colOff>554181</xdr:colOff>
      <xdr:row>52</xdr:row>
      <xdr:rowOff>190502</xdr:rowOff>
    </xdr:to>
    <xdr:sp macro="" textlink="">
      <xdr:nvSpPr>
        <xdr:cNvPr id="182" name="Isosceles Triangle 181">
          <a:extLst>
            <a:ext uri="{FF2B5EF4-FFF2-40B4-BE49-F238E27FC236}">
              <a16:creationId xmlns:a16="http://schemas.microsoft.com/office/drawing/2014/main" id="{00000000-0008-0000-0100-0000B6000000}"/>
            </a:ext>
          </a:extLst>
        </xdr:cNvPr>
        <xdr:cNvSpPr/>
      </xdr:nvSpPr>
      <xdr:spPr>
        <a:xfrm>
          <a:off x="4173682" y="10598728"/>
          <a:ext cx="1619249" cy="545524"/>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173182</xdr:colOff>
      <xdr:row>50</xdr:row>
      <xdr:rowOff>34636</xdr:rowOff>
    </xdr:from>
    <xdr:to>
      <xdr:col>14</xdr:col>
      <xdr:colOff>502227</xdr:colOff>
      <xdr:row>52</xdr:row>
      <xdr:rowOff>190501</xdr:rowOff>
    </xdr:to>
    <xdr:sp macro="" textlink="">
      <xdr:nvSpPr>
        <xdr:cNvPr id="184" name="Isosceles Triangle 183">
          <a:extLst>
            <a:ext uri="{FF2B5EF4-FFF2-40B4-BE49-F238E27FC236}">
              <a16:creationId xmlns:a16="http://schemas.microsoft.com/office/drawing/2014/main" id="{00000000-0008-0000-0100-0000B8000000}"/>
            </a:ext>
          </a:extLst>
        </xdr:cNvPr>
        <xdr:cNvSpPr/>
      </xdr:nvSpPr>
      <xdr:spPr>
        <a:xfrm>
          <a:off x="7472796" y="10598727"/>
          <a:ext cx="1619249" cy="545524"/>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233795</xdr:colOff>
      <xdr:row>50</xdr:row>
      <xdr:rowOff>17318</xdr:rowOff>
    </xdr:from>
    <xdr:to>
      <xdr:col>19</xdr:col>
      <xdr:colOff>493567</xdr:colOff>
      <xdr:row>52</xdr:row>
      <xdr:rowOff>173183</xdr:rowOff>
    </xdr:to>
    <xdr:sp macro="" textlink="">
      <xdr:nvSpPr>
        <xdr:cNvPr id="185" name="Isosceles Triangle 184">
          <a:extLst>
            <a:ext uri="{FF2B5EF4-FFF2-40B4-BE49-F238E27FC236}">
              <a16:creationId xmlns:a16="http://schemas.microsoft.com/office/drawing/2014/main" id="{00000000-0008-0000-0100-0000B9000000}"/>
            </a:ext>
          </a:extLst>
        </xdr:cNvPr>
        <xdr:cNvSpPr/>
      </xdr:nvSpPr>
      <xdr:spPr>
        <a:xfrm>
          <a:off x="10598727" y="10581409"/>
          <a:ext cx="1619249" cy="545524"/>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93</xdr:row>
      <xdr:rowOff>64557</xdr:rowOff>
    </xdr:from>
    <xdr:to>
      <xdr:col>18</xdr:col>
      <xdr:colOff>52917</xdr:colOff>
      <xdr:row>114</xdr:row>
      <xdr:rowOff>91017</xdr:rowOff>
    </xdr:to>
    <xdr:graphicFrame macro="">
      <xdr:nvGraphicFramePr>
        <xdr:cNvPr id="27" name="Chart 26">
          <a:extLst>
            <a:ext uri="{FF2B5EF4-FFF2-40B4-BE49-F238E27FC236}">
              <a16:creationId xmlns:a16="http://schemas.microsoft.com/office/drawing/2014/main" id="{00000000-0008-0000-01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120939</xdr:colOff>
      <xdr:row>63</xdr:row>
      <xdr:rowOff>65231</xdr:rowOff>
    </xdr:from>
    <xdr:to>
      <xdr:col>4</xdr:col>
      <xdr:colOff>493279</xdr:colOff>
      <xdr:row>65</xdr:row>
      <xdr:rowOff>169141</xdr:rowOff>
    </xdr:to>
    <xdr:sp macro="" textlink="">
      <xdr:nvSpPr>
        <xdr:cNvPr id="91" name="Isosceles Triangle 90">
          <a:extLst>
            <a:ext uri="{FF2B5EF4-FFF2-40B4-BE49-F238E27FC236}">
              <a16:creationId xmlns:a16="http://schemas.microsoft.com/office/drawing/2014/main" id="{00000000-0008-0000-0100-00005B000000}"/>
            </a:ext>
          </a:extLst>
        </xdr:cNvPr>
        <xdr:cNvSpPr/>
      </xdr:nvSpPr>
      <xdr:spPr>
        <a:xfrm>
          <a:off x="1073439" y="10666556"/>
          <a:ext cx="1591540" cy="503960"/>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121228</xdr:colOff>
      <xdr:row>66</xdr:row>
      <xdr:rowOff>155864</xdr:rowOff>
    </xdr:from>
    <xdr:to>
      <xdr:col>1</xdr:col>
      <xdr:colOff>473653</xdr:colOff>
      <xdr:row>68</xdr:row>
      <xdr:rowOff>89190</xdr:rowOff>
    </xdr:to>
    <xdr:sp macro="" textlink="">
      <xdr:nvSpPr>
        <xdr:cNvPr id="92" name="Oval 91">
          <a:extLst>
            <a:ext uri="{FF2B5EF4-FFF2-40B4-BE49-F238E27FC236}">
              <a16:creationId xmlns:a16="http://schemas.microsoft.com/office/drawing/2014/main" id="{00000000-0008-0000-0100-00005C000000}"/>
            </a:ext>
          </a:extLst>
        </xdr:cNvPr>
        <xdr:cNvSpPr/>
      </xdr:nvSpPr>
      <xdr:spPr>
        <a:xfrm>
          <a:off x="473653" y="11357264"/>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133061</xdr:colOff>
      <xdr:row>66</xdr:row>
      <xdr:rowOff>165389</xdr:rowOff>
    </xdr:from>
    <xdr:to>
      <xdr:col>5</xdr:col>
      <xdr:colOff>485486</xdr:colOff>
      <xdr:row>68</xdr:row>
      <xdr:rowOff>98715</xdr:rowOff>
    </xdr:to>
    <xdr:sp macro="" textlink="">
      <xdr:nvSpPr>
        <xdr:cNvPr id="96" name="Oval 95">
          <a:extLst>
            <a:ext uri="{FF2B5EF4-FFF2-40B4-BE49-F238E27FC236}">
              <a16:creationId xmlns:a16="http://schemas.microsoft.com/office/drawing/2014/main" id="{00000000-0008-0000-0100-000060000000}"/>
            </a:ext>
          </a:extLst>
        </xdr:cNvPr>
        <xdr:cNvSpPr/>
      </xdr:nvSpPr>
      <xdr:spPr>
        <a:xfrm>
          <a:off x="2923886" y="11366789"/>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129887</xdr:colOff>
      <xdr:row>66</xdr:row>
      <xdr:rowOff>164523</xdr:rowOff>
    </xdr:from>
    <xdr:to>
      <xdr:col>6</xdr:col>
      <xdr:colOff>482312</xdr:colOff>
      <xdr:row>68</xdr:row>
      <xdr:rowOff>97849</xdr:rowOff>
    </xdr:to>
    <xdr:sp macro="" textlink="">
      <xdr:nvSpPr>
        <xdr:cNvPr id="97" name="Oval 96">
          <a:extLst>
            <a:ext uri="{FF2B5EF4-FFF2-40B4-BE49-F238E27FC236}">
              <a16:creationId xmlns:a16="http://schemas.microsoft.com/office/drawing/2014/main" id="{00000000-0008-0000-0100-000061000000}"/>
            </a:ext>
          </a:extLst>
        </xdr:cNvPr>
        <xdr:cNvSpPr/>
      </xdr:nvSpPr>
      <xdr:spPr>
        <a:xfrm>
          <a:off x="3549362" y="11365923"/>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129887</xdr:colOff>
      <xdr:row>62</xdr:row>
      <xdr:rowOff>173182</xdr:rowOff>
    </xdr:from>
    <xdr:to>
      <xdr:col>3</xdr:col>
      <xdr:colOff>482312</xdr:colOff>
      <xdr:row>64</xdr:row>
      <xdr:rowOff>106508</xdr:rowOff>
    </xdr:to>
    <xdr:sp macro="" textlink="">
      <xdr:nvSpPr>
        <xdr:cNvPr id="99" name="Oval 98">
          <a:extLst>
            <a:ext uri="{FF2B5EF4-FFF2-40B4-BE49-F238E27FC236}">
              <a16:creationId xmlns:a16="http://schemas.microsoft.com/office/drawing/2014/main" id="{00000000-0008-0000-0100-000063000000}"/>
            </a:ext>
          </a:extLst>
        </xdr:cNvPr>
        <xdr:cNvSpPr/>
      </xdr:nvSpPr>
      <xdr:spPr>
        <a:xfrm>
          <a:off x="1691987" y="10574482"/>
          <a:ext cx="352425" cy="33337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129887</xdr:colOff>
      <xdr:row>70</xdr:row>
      <xdr:rowOff>164523</xdr:rowOff>
    </xdr:from>
    <xdr:to>
      <xdr:col>3</xdr:col>
      <xdr:colOff>482312</xdr:colOff>
      <xdr:row>72</xdr:row>
      <xdr:rowOff>97849</xdr:rowOff>
    </xdr:to>
    <xdr:sp macro="" textlink="">
      <xdr:nvSpPr>
        <xdr:cNvPr id="100" name="Oval 99">
          <a:extLst>
            <a:ext uri="{FF2B5EF4-FFF2-40B4-BE49-F238E27FC236}">
              <a16:creationId xmlns:a16="http://schemas.microsoft.com/office/drawing/2014/main" id="{00000000-0008-0000-0100-000064000000}"/>
            </a:ext>
          </a:extLst>
        </xdr:cNvPr>
        <xdr:cNvSpPr/>
      </xdr:nvSpPr>
      <xdr:spPr>
        <a:xfrm>
          <a:off x="1691987" y="12146973"/>
          <a:ext cx="352425" cy="323851"/>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173182</xdr:colOff>
      <xdr:row>66</xdr:row>
      <xdr:rowOff>173182</xdr:rowOff>
    </xdr:from>
    <xdr:to>
      <xdr:col>10</xdr:col>
      <xdr:colOff>525607</xdr:colOff>
      <xdr:row>68</xdr:row>
      <xdr:rowOff>106508</xdr:rowOff>
    </xdr:to>
    <xdr:sp macro="" textlink="">
      <xdr:nvSpPr>
        <xdr:cNvPr id="101" name="Oval 100">
          <a:extLst>
            <a:ext uri="{FF2B5EF4-FFF2-40B4-BE49-F238E27FC236}">
              <a16:creationId xmlns:a16="http://schemas.microsoft.com/office/drawing/2014/main" id="{00000000-0008-0000-0100-000065000000}"/>
            </a:ext>
          </a:extLst>
        </xdr:cNvPr>
        <xdr:cNvSpPr/>
      </xdr:nvSpPr>
      <xdr:spPr>
        <a:xfrm>
          <a:off x="6050107" y="11374582"/>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199159</xdr:colOff>
      <xdr:row>66</xdr:row>
      <xdr:rowOff>181842</xdr:rowOff>
    </xdr:from>
    <xdr:to>
      <xdr:col>11</xdr:col>
      <xdr:colOff>551584</xdr:colOff>
      <xdr:row>68</xdr:row>
      <xdr:rowOff>115168</xdr:rowOff>
    </xdr:to>
    <xdr:sp macro="" textlink="">
      <xdr:nvSpPr>
        <xdr:cNvPr id="102" name="Oval 101">
          <a:extLst>
            <a:ext uri="{FF2B5EF4-FFF2-40B4-BE49-F238E27FC236}">
              <a16:creationId xmlns:a16="http://schemas.microsoft.com/office/drawing/2014/main" id="{00000000-0008-0000-0100-000066000000}"/>
            </a:ext>
          </a:extLst>
        </xdr:cNvPr>
        <xdr:cNvSpPr/>
      </xdr:nvSpPr>
      <xdr:spPr>
        <a:xfrm>
          <a:off x="6733309" y="11383242"/>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60613</xdr:colOff>
      <xdr:row>66</xdr:row>
      <xdr:rowOff>147204</xdr:rowOff>
    </xdr:from>
    <xdr:to>
      <xdr:col>15</xdr:col>
      <xdr:colOff>413038</xdr:colOff>
      <xdr:row>68</xdr:row>
      <xdr:rowOff>80530</xdr:rowOff>
    </xdr:to>
    <xdr:sp macro="" textlink="">
      <xdr:nvSpPr>
        <xdr:cNvPr id="104" name="Oval 103">
          <a:extLst>
            <a:ext uri="{FF2B5EF4-FFF2-40B4-BE49-F238E27FC236}">
              <a16:creationId xmlns:a16="http://schemas.microsoft.com/office/drawing/2014/main" id="{00000000-0008-0000-0100-000068000000}"/>
            </a:ext>
          </a:extLst>
        </xdr:cNvPr>
        <xdr:cNvSpPr/>
      </xdr:nvSpPr>
      <xdr:spPr>
        <a:xfrm>
          <a:off x="9290338" y="11348604"/>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112568</xdr:colOff>
      <xdr:row>66</xdr:row>
      <xdr:rowOff>138546</xdr:rowOff>
    </xdr:from>
    <xdr:to>
      <xdr:col>16</xdr:col>
      <xdr:colOff>464993</xdr:colOff>
      <xdr:row>68</xdr:row>
      <xdr:rowOff>71872</xdr:rowOff>
    </xdr:to>
    <xdr:sp macro="" textlink="">
      <xdr:nvSpPr>
        <xdr:cNvPr id="106" name="Oval 105">
          <a:extLst>
            <a:ext uri="{FF2B5EF4-FFF2-40B4-BE49-F238E27FC236}">
              <a16:creationId xmlns:a16="http://schemas.microsoft.com/office/drawing/2014/main" id="{00000000-0008-0000-0100-00006A000000}"/>
            </a:ext>
          </a:extLst>
        </xdr:cNvPr>
        <xdr:cNvSpPr/>
      </xdr:nvSpPr>
      <xdr:spPr>
        <a:xfrm>
          <a:off x="9875693" y="11339946"/>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277091</xdr:colOff>
      <xdr:row>66</xdr:row>
      <xdr:rowOff>155863</xdr:rowOff>
    </xdr:from>
    <xdr:to>
      <xdr:col>20</xdr:col>
      <xdr:colOff>629516</xdr:colOff>
      <xdr:row>68</xdr:row>
      <xdr:rowOff>89189</xdr:rowOff>
    </xdr:to>
    <xdr:sp macro="" textlink="">
      <xdr:nvSpPr>
        <xdr:cNvPr id="108" name="Oval 107">
          <a:extLst>
            <a:ext uri="{FF2B5EF4-FFF2-40B4-BE49-F238E27FC236}">
              <a16:creationId xmlns:a16="http://schemas.microsoft.com/office/drawing/2014/main" id="{00000000-0008-0000-0100-00006C000000}"/>
            </a:ext>
          </a:extLst>
        </xdr:cNvPr>
        <xdr:cNvSpPr/>
      </xdr:nvSpPr>
      <xdr:spPr>
        <a:xfrm>
          <a:off x="12621491" y="11357263"/>
          <a:ext cx="352425" cy="31432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129885</xdr:colOff>
      <xdr:row>62</xdr:row>
      <xdr:rowOff>164523</xdr:rowOff>
    </xdr:from>
    <xdr:to>
      <xdr:col>8</xdr:col>
      <xdr:colOff>482310</xdr:colOff>
      <xdr:row>64</xdr:row>
      <xdr:rowOff>97849</xdr:rowOff>
    </xdr:to>
    <xdr:sp macro="" textlink="">
      <xdr:nvSpPr>
        <xdr:cNvPr id="110" name="Oval 109">
          <a:extLst>
            <a:ext uri="{FF2B5EF4-FFF2-40B4-BE49-F238E27FC236}">
              <a16:creationId xmlns:a16="http://schemas.microsoft.com/office/drawing/2014/main" id="{00000000-0008-0000-0100-00006E000000}"/>
            </a:ext>
          </a:extLst>
        </xdr:cNvPr>
        <xdr:cNvSpPr/>
      </xdr:nvSpPr>
      <xdr:spPr>
        <a:xfrm>
          <a:off x="4768560" y="10565823"/>
          <a:ext cx="352425" cy="33337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129885</xdr:colOff>
      <xdr:row>70</xdr:row>
      <xdr:rowOff>155864</xdr:rowOff>
    </xdr:from>
    <xdr:to>
      <xdr:col>8</xdr:col>
      <xdr:colOff>482310</xdr:colOff>
      <xdr:row>72</xdr:row>
      <xdr:rowOff>89190</xdr:rowOff>
    </xdr:to>
    <xdr:sp macro="" textlink="">
      <xdr:nvSpPr>
        <xdr:cNvPr id="111" name="Oval 110">
          <a:extLst>
            <a:ext uri="{FF2B5EF4-FFF2-40B4-BE49-F238E27FC236}">
              <a16:creationId xmlns:a16="http://schemas.microsoft.com/office/drawing/2014/main" id="{00000000-0008-0000-0100-00006F000000}"/>
            </a:ext>
          </a:extLst>
        </xdr:cNvPr>
        <xdr:cNvSpPr/>
      </xdr:nvSpPr>
      <xdr:spPr>
        <a:xfrm>
          <a:off x="4768560" y="12138314"/>
          <a:ext cx="352425" cy="323851"/>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121227</xdr:colOff>
      <xdr:row>62</xdr:row>
      <xdr:rowOff>173182</xdr:rowOff>
    </xdr:from>
    <xdr:to>
      <xdr:col>13</xdr:col>
      <xdr:colOff>473652</xdr:colOff>
      <xdr:row>64</xdr:row>
      <xdr:rowOff>106508</xdr:rowOff>
    </xdr:to>
    <xdr:sp macro="" textlink="">
      <xdr:nvSpPr>
        <xdr:cNvPr id="112" name="Oval 111">
          <a:extLst>
            <a:ext uri="{FF2B5EF4-FFF2-40B4-BE49-F238E27FC236}">
              <a16:creationId xmlns:a16="http://schemas.microsoft.com/office/drawing/2014/main" id="{00000000-0008-0000-0100-000070000000}"/>
            </a:ext>
          </a:extLst>
        </xdr:cNvPr>
        <xdr:cNvSpPr/>
      </xdr:nvSpPr>
      <xdr:spPr>
        <a:xfrm>
          <a:off x="8112702" y="10574482"/>
          <a:ext cx="352425" cy="33337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111702</xdr:colOff>
      <xdr:row>70</xdr:row>
      <xdr:rowOff>164523</xdr:rowOff>
    </xdr:from>
    <xdr:to>
      <xdr:col>13</xdr:col>
      <xdr:colOff>464127</xdr:colOff>
      <xdr:row>72</xdr:row>
      <xdr:rowOff>97849</xdr:rowOff>
    </xdr:to>
    <xdr:sp macro="" textlink="">
      <xdr:nvSpPr>
        <xdr:cNvPr id="114" name="Oval 113">
          <a:extLst>
            <a:ext uri="{FF2B5EF4-FFF2-40B4-BE49-F238E27FC236}">
              <a16:creationId xmlns:a16="http://schemas.microsoft.com/office/drawing/2014/main" id="{00000000-0008-0000-0100-000072000000}"/>
            </a:ext>
          </a:extLst>
        </xdr:cNvPr>
        <xdr:cNvSpPr/>
      </xdr:nvSpPr>
      <xdr:spPr>
        <a:xfrm>
          <a:off x="8103177" y="12146973"/>
          <a:ext cx="352425" cy="323851"/>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155864</xdr:colOff>
      <xdr:row>62</xdr:row>
      <xdr:rowOff>181841</xdr:rowOff>
    </xdr:from>
    <xdr:to>
      <xdr:col>18</xdr:col>
      <xdr:colOff>508289</xdr:colOff>
      <xdr:row>64</xdr:row>
      <xdr:rowOff>115167</xdr:rowOff>
    </xdr:to>
    <xdr:sp macro="" textlink="">
      <xdr:nvSpPr>
        <xdr:cNvPr id="115" name="Oval 114">
          <a:extLst>
            <a:ext uri="{FF2B5EF4-FFF2-40B4-BE49-F238E27FC236}">
              <a16:creationId xmlns:a16="http://schemas.microsoft.com/office/drawing/2014/main" id="{00000000-0008-0000-0100-000073000000}"/>
            </a:ext>
          </a:extLst>
        </xdr:cNvPr>
        <xdr:cNvSpPr/>
      </xdr:nvSpPr>
      <xdr:spPr>
        <a:xfrm>
          <a:off x="11223914" y="10583141"/>
          <a:ext cx="352425" cy="333376"/>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155864</xdr:colOff>
      <xdr:row>70</xdr:row>
      <xdr:rowOff>173182</xdr:rowOff>
    </xdr:from>
    <xdr:to>
      <xdr:col>18</xdr:col>
      <xdr:colOff>508289</xdr:colOff>
      <xdr:row>72</xdr:row>
      <xdr:rowOff>106508</xdr:rowOff>
    </xdr:to>
    <xdr:sp macro="" textlink="">
      <xdr:nvSpPr>
        <xdr:cNvPr id="116" name="Oval 115">
          <a:extLst>
            <a:ext uri="{FF2B5EF4-FFF2-40B4-BE49-F238E27FC236}">
              <a16:creationId xmlns:a16="http://schemas.microsoft.com/office/drawing/2014/main" id="{00000000-0008-0000-0100-000074000000}"/>
            </a:ext>
          </a:extLst>
        </xdr:cNvPr>
        <xdr:cNvSpPr/>
      </xdr:nvSpPr>
      <xdr:spPr>
        <a:xfrm>
          <a:off x="11223914" y="12155632"/>
          <a:ext cx="352425" cy="323851"/>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490971</xdr:colOff>
      <xdr:row>67</xdr:row>
      <xdr:rowOff>170153</xdr:rowOff>
    </xdr:from>
    <xdr:to>
      <xdr:col>5</xdr:col>
      <xdr:colOff>147204</xdr:colOff>
      <xdr:row>67</xdr:row>
      <xdr:rowOff>170153</xdr:rowOff>
    </xdr:to>
    <xdr:cxnSp macro="">
      <xdr:nvCxnSpPr>
        <xdr:cNvPr id="118" name="Straight Connector 117">
          <a:extLst>
            <a:ext uri="{FF2B5EF4-FFF2-40B4-BE49-F238E27FC236}">
              <a16:creationId xmlns:a16="http://schemas.microsoft.com/office/drawing/2014/main" id="{00000000-0008-0000-0100-000076000000}"/>
            </a:ext>
          </a:extLst>
        </xdr:cNvPr>
        <xdr:cNvCxnSpPr/>
      </xdr:nvCxnSpPr>
      <xdr:spPr>
        <a:xfrm>
          <a:off x="843396" y="11562053"/>
          <a:ext cx="2094633"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510886</xdr:colOff>
      <xdr:row>67</xdr:row>
      <xdr:rowOff>164523</xdr:rowOff>
    </xdr:from>
    <xdr:to>
      <xdr:col>10</xdr:col>
      <xdr:colOff>149800</xdr:colOff>
      <xdr:row>67</xdr:row>
      <xdr:rowOff>164523</xdr:rowOff>
    </xdr:to>
    <xdr:cxnSp macro="">
      <xdr:nvCxnSpPr>
        <xdr:cNvPr id="119" name="Straight Connector 118">
          <a:extLst>
            <a:ext uri="{FF2B5EF4-FFF2-40B4-BE49-F238E27FC236}">
              <a16:creationId xmlns:a16="http://schemas.microsoft.com/office/drawing/2014/main" id="{00000000-0008-0000-0100-000077000000}"/>
            </a:ext>
          </a:extLst>
        </xdr:cNvPr>
        <xdr:cNvCxnSpPr/>
      </xdr:nvCxnSpPr>
      <xdr:spPr>
        <a:xfrm>
          <a:off x="3930361" y="11556423"/>
          <a:ext cx="2096364"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11</xdr:col>
      <xdr:colOff>606137</xdr:colOff>
      <xdr:row>67</xdr:row>
      <xdr:rowOff>181840</xdr:rowOff>
    </xdr:from>
    <xdr:to>
      <xdr:col>15</xdr:col>
      <xdr:colOff>2597</xdr:colOff>
      <xdr:row>67</xdr:row>
      <xdr:rowOff>181840</xdr:rowOff>
    </xdr:to>
    <xdr:cxnSp macro="">
      <xdr:nvCxnSpPr>
        <xdr:cNvPr id="121" name="Straight Connector 120">
          <a:extLst>
            <a:ext uri="{FF2B5EF4-FFF2-40B4-BE49-F238E27FC236}">
              <a16:creationId xmlns:a16="http://schemas.microsoft.com/office/drawing/2014/main" id="{00000000-0008-0000-0100-000079000000}"/>
            </a:ext>
          </a:extLst>
        </xdr:cNvPr>
        <xdr:cNvCxnSpPr/>
      </xdr:nvCxnSpPr>
      <xdr:spPr>
        <a:xfrm>
          <a:off x="7140287" y="11573740"/>
          <a:ext cx="2092035"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484908</xdr:colOff>
      <xdr:row>67</xdr:row>
      <xdr:rowOff>155864</xdr:rowOff>
    </xdr:from>
    <xdr:to>
      <xdr:col>20</xdr:col>
      <xdr:colOff>225136</xdr:colOff>
      <xdr:row>67</xdr:row>
      <xdr:rowOff>173184</xdr:rowOff>
    </xdr:to>
    <xdr:cxnSp macro="">
      <xdr:nvCxnSpPr>
        <xdr:cNvPr id="123" name="Straight Connector 122">
          <a:extLst>
            <a:ext uri="{FF2B5EF4-FFF2-40B4-BE49-F238E27FC236}">
              <a16:creationId xmlns:a16="http://schemas.microsoft.com/office/drawing/2014/main" id="{00000000-0008-0000-0100-00007B000000}"/>
            </a:ext>
          </a:extLst>
        </xdr:cNvPr>
        <xdr:cNvCxnSpPr/>
      </xdr:nvCxnSpPr>
      <xdr:spPr>
        <a:xfrm flipV="1">
          <a:off x="10248033" y="11547764"/>
          <a:ext cx="2321503" cy="1732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422042</xdr:colOff>
      <xdr:row>68</xdr:row>
      <xdr:rowOff>41890</xdr:rowOff>
    </xdr:from>
    <xdr:to>
      <xdr:col>3</xdr:col>
      <xdr:colOff>129887</xdr:colOff>
      <xdr:row>71</xdr:row>
      <xdr:rowOff>126857</xdr:rowOff>
    </xdr:to>
    <xdr:cxnSp macro="">
      <xdr:nvCxnSpPr>
        <xdr:cNvPr id="124" name="Straight Connector 123">
          <a:extLst>
            <a:ext uri="{FF2B5EF4-FFF2-40B4-BE49-F238E27FC236}">
              <a16:creationId xmlns:a16="http://schemas.microsoft.com/office/drawing/2014/main" id="{00000000-0008-0000-0100-00007C000000}"/>
            </a:ext>
          </a:extLst>
        </xdr:cNvPr>
        <xdr:cNvCxnSpPr>
          <a:stCxn id="92" idx="5"/>
          <a:endCxn id="100" idx="2"/>
        </xdr:cNvCxnSpPr>
      </xdr:nvCxnSpPr>
      <xdr:spPr>
        <a:xfrm>
          <a:off x="774467" y="11624290"/>
          <a:ext cx="917520" cy="685042"/>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424295</xdr:colOff>
      <xdr:row>68</xdr:row>
      <xdr:rowOff>60614</xdr:rowOff>
    </xdr:from>
    <xdr:to>
      <xdr:col>8</xdr:col>
      <xdr:colOff>129885</xdr:colOff>
      <xdr:row>71</xdr:row>
      <xdr:rowOff>118198</xdr:rowOff>
    </xdr:to>
    <xdr:cxnSp macro="">
      <xdr:nvCxnSpPr>
        <xdr:cNvPr id="126" name="Straight Connector 125">
          <a:extLst>
            <a:ext uri="{FF2B5EF4-FFF2-40B4-BE49-F238E27FC236}">
              <a16:creationId xmlns:a16="http://schemas.microsoft.com/office/drawing/2014/main" id="{00000000-0008-0000-0100-00007E000000}"/>
            </a:ext>
          </a:extLst>
        </xdr:cNvPr>
        <xdr:cNvCxnSpPr>
          <a:endCxn id="111" idx="2"/>
        </xdr:cNvCxnSpPr>
      </xdr:nvCxnSpPr>
      <xdr:spPr>
        <a:xfrm>
          <a:off x="3843770" y="11643014"/>
          <a:ext cx="924790" cy="657659"/>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11</xdr:col>
      <xdr:colOff>518679</xdr:colOff>
      <xdr:row>68</xdr:row>
      <xdr:rowOff>51954</xdr:rowOff>
    </xdr:from>
    <xdr:to>
      <xdr:col>13</xdr:col>
      <xdr:colOff>111702</xdr:colOff>
      <xdr:row>71</xdr:row>
      <xdr:rowOff>126857</xdr:rowOff>
    </xdr:to>
    <xdr:cxnSp macro="">
      <xdr:nvCxnSpPr>
        <xdr:cNvPr id="127" name="Straight Connector 126">
          <a:extLst>
            <a:ext uri="{FF2B5EF4-FFF2-40B4-BE49-F238E27FC236}">
              <a16:creationId xmlns:a16="http://schemas.microsoft.com/office/drawing/2014/main" id="{00000000-0008-0000-0100-00007F000000}"/>
            </a:ext>
          </a:extLst>
        </xdr:cNvPr>
        <xdr:cNvCxnSpPr>
          <a:endCxn id="114" idx="2"/>
        </xdr:cNvCxnSpPr>
      </xdr:nvCxnSpPr>
      <xdr:spPr>
        <a:xfrm>
          <a:off x="7052829" y="11634354"/>
          <a:ext cx="1050348" cy="674978"/>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406977</xdr:colOff>
      <xdr:row>68</xdr:row>
      <xdr:rowOff>34637</xdr:rowOff>
    </xdr:from>
    <xdr:to>
      <xdr:col>18</xdr:col>
      <xdr:colOff>155864</xdr:colOff>
      <xdr:row>71</xdr:row>
      <xdr:rowOff>135516</xdr:rowOff>
    </xdr:to>
    <xdr:cxnSp macro="">
      <xdr:nvCxnSpPr>
        <xdr:cNvPr id="129" name="Straight Connector 128">
          <a:extLst>
            <a:ext uri="{FF2B5EF4-FFF2-40B4-BE49-F238E27FC236}">
              <a16:creationId xmlns:a16="http://schemas.microsoft.com/office/drawing/2014/main" id="{00000000-0008-0000-0100-000081000000}"/>
            </a:ext>
          </a:extLst>
        </xdr:cNvPr>
        <xdr:cNvCxnSpPr>
          <a:endCxn id="116" idx="2"/>
        </xdr:cNvCxnSpPr>
      </xdr:nvCxnSpPr>
      <xdr:spPr>
        <a:xfrm>
          <a:off x="10170102" y="11617037"/>
          <a:ext cx="1053812" cy="700954"/>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xdr:col>
      <xdr:colOff>482312</xdr:colOff>
      <xdr:row>68</xdr:row>
      <xdr:rowOff>51288</xdr:rowOff>
    </xdr:from>
    <xdr:to>
      <xdr:col>5</xdr:col>
      <xdr:colOff>184672</xdr:colOff>
      <xdr:row>71</xdr:row>
      <xdr:rowOff>126424</xdr:rowOff>
    </xdr:to>
    <xdr:cxnSp macro="">
      <xdr:nvCxnSpPr>
        <xdr:cNvPr id="130" name="Straight Connector 129">
          <a:extLst>
            <a:ext uri="{FF2B5EF4-FFF2-40B4-BE49-F238E27FC236}">
              <a16:creationId xmlns:a16="http://schemas.microsoft.com/office/drawing/2014/main" id="{00000000-0008-0000-0100-000082000000}"/>
            </a:ext>
          </a:extLst>
        </xdr:cNvPr>
        <xdr:cNvCxnSpPr>
          <a:stCxn id="100" idx="6"/>
          <a:endCxn id="96" idx="3"/>
        </xdr:cNvCxnSpPr>
      </xdr:nvCxnSpPr>
      <xdr:spPr>
        <a:xfrm flipV="1">
          <a:off x="2044412" y="11633688"/>
          <a:ext cx="931085" cy="67521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458931</xdr:colOff>
      <xdr:row>68</xdr:row>
      <xdr:rowOff>59208</xdr:rowOff>
    </xdr:from>
    <xdr:to>
      <xdr:col>10</xdr:col>
      <xdr:colOff>224793</xdr:colOff>
      <xdr:row>71</xdr:row>
      <xdr:rowOff>77933</xdr:rowOff>
    </xdr:to>
    <xdr:cxnSp macro="">
      <xdr:nvCxnSpPr>
        <xdr:cNvPr id="132" name="Straight Connector 131">
          <a:extLst>
            <a:ext uri="{FF2B5EF4-FFF2-40B4-BE49-F238E27FC236}">
              <a16:creationId xmlns:a16="http://schemas.microsoft.com/office/drawing/2014/main" id="{00000000-0008-0000-0100-000084000000}"/>
            </a:ext>
          </a:extLst>
        </xdr:cNvPr>
        <xdr:cNvCxnSpPr>
          <a:endCxn id="101" idx="3"/>
        </xdr:cNvCxnSpPr>
      </xdr:nvCxnSpPr>
      <xdr:spPr>
        <a:xfrm flipV="1">
          <a:off x="5097606" y="11641608"/>
          <a:ext cx="1004112" cy="61880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13</xdr:col>
      <xdr:colOff>464127</xdr:colOff>
      <xdr:row>68</xdr:row>
      <xdr:rowOff>33103</xdr:rowOff>
    </xdr:from>
    <xdr:to>
      <xdr:col>15</xdr:col>
      <xdr:colOff>112224</xdr:colOff>
      <xdr:row>71</xdr:row>
      <xdr:rowOff>126424</xdr:rowOff>
    </xdr:to>
    <xdr:cxnSp macro="">
      <xdr:nvCxnSpPr>
        <xdr:cNvPr id="134" name="Straight Connector 133">
          <a:extLst>
            <a:ext uri="{FF2B5EF4-FFF2-40B4-BE49-F238E27FC236}">
              <a16:creationId xmlns:a16="http://schemas.microsoft.com/office/drawing/2014/main" id="{00000000-0008-0000-0100-000086000000}"/>
            </a:ext>
          </a:extLst>
        </xdr:cNvPr>
        <xdr:cNvCxnSpPr>
          <a:stCxn id="114" idx="6"/>
          <a:endCxn id="104" idx="3"/>
        </xdr:cNvCxnSpPr>
      </xdr:nvCxnSpPr>
      <xdr:spPr>
        <a:xfrm flipV="1">
          <a:off x="8455602" y="11615503"/>
          <a:ext cx="886347" cy="693396"/>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18</xdr:col>
      <xdr:colOff>508289</xdr:colOff>
      <xdr:row>68</xdr:row>
      <xdr:rowOff>43296</xdr:rowOff>
    </xdr:from>
    <xdr:to>
      <xdr:col>20</xdr:col>
      <xdr:colOff>380657</xdr:colOff>
      <xdr:row>71</xdr:row>
      <xdr:rowOff>135516</xdr:rowOff>
    </xdr:to>
    <xdr:cxnSp macro="">
      <xdr:nvCxnSpPr>
        <xdr:cNvPr id="135" name="Straight Connector 134">
          <a:extLst>
            <a:ext uri="{FF2B5EF4-FFF2-40B4-BE49-F238E27FC236}">
              <a16:creationId xmlns:a16="http://schemas.microsoft.com/office/drawing/2014/main" id="{00000000-0008-0000-0100-000087000000}"/>
            </a:ext>
          </a:extLst>
        </xdr:cNvPr>
        <xdr:cNvCxnSpPr>
          <a:stCxn id="116" idx="6"/>
        </xdr:cNvCxnSpPr>
      </xdr:nvCxnSpPr>
      <xdr:spPr>
        <a:xfrm flipV="1">
          <a:off x="11576339" y="11625696"/>
          <a:ext cx="1148718" cy="692295"/>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422042</xdr:colOff>
      <xdr:row>63</xdr:row>
      <xdr:rowOff>139845</xdr:rowOff>
    </xdr:from>
    <xdr:to>
      <xdr:col>3</xdr:col>
      <xdr:colOff>129887</xdr:colOff>
      <xdr:row>67</xdr:row>
      <xdr:rowOff>12664</xdr:rowOff>
    </xdr:to>
    <xdr:cxnSp macro="">
      <xdr:nvCxnSpPr>
        <xdr:cNvPr id="137" name="Straight Connector 136">
          <a:extLst>
            <a:ext uri="{FF2B5EF4-FFF2-40B4-BE49-F238E27FC236}">
              <a16:creationId xmlns:a16="http://schemas.microsoft.com/office/drawing/2014/main" id="{00000000-0008-0000-0100-000089000000}"/>
            </a:ext>
          </a:extLst>
        </xdr:cNvPr>
        <xdr:cNvCxnSpPr>
          <a:stCxn id="92" idx="7"/>
          <a:endCxn id="99" idx="2"/>
        </xdr:cNvCxnSpPr>
      </xdr:nvCxnSpPr>
      <xdr:spPr>
        <a:xfrm flipV="1">
          <a:off x="774467" y="10741170"/>
          <a:ext cx="917520" cy="663394"/>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430701</xdr:colOff>
      <xdr:row>63</xdr:row>
      <xdr:rowOff>131186</xdr:rowOff>
    </xdr:from>
    <xdr:to>
      <xdr:col>8</xdr:col>
      <xdr:colOff>129885</xdr:colOff>
      <xdr:row>67</xdr:row>
      <xdr:rowOff>21323</xdr:rowOff>
    </xdr:to>
    <xdr:cxnSp macro="">
      <xdr:nvCxnSpPr>
        <xdr:cNvPr id="138" name="Straight Connector 137">
          <a:extLst>
            <a:ext uri="{FF2B5EF4-FFF2-40B4-BE49-F238E27FC236}">
              <a16:creationId xmlns:a16="http://schemas.microsoft.com/office/drawing/2014/main" id="{00000000-0008-0000-0100-00008A000000}"/>
            </a:ext>
          </a:extLst>
        </xdr:cNvPr>
        <xdr:cNvCxnSpPr>
          <a:stCxn id="97" idx="7"/>
          <a:endCxn id="110" idx="2"/>
        </xdr:cNvCxnSpPr>
      </xdr:nvCxnSpPr>
      <xdr:spPr>
        <a:xfrm flipV="1">
          <a:off x="3850176" y="10732511"/>
          <a:ext cx="918384" cy="680712"/>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499973</xdr:colOff>
      <xdr:row>63</xdr:row>
      <xdr:rowOff>139845</xdr:rowOff>
    </xdr:from>
    <xdr:to>
      <xdr:col>13</xdr:col>
      <xdr:colOff>121227</xdr:colOff>
      <xdr:row>67</xdr:row>
      <xdr:rowOff>38642</xdr:rowOff>
    </xdr:to>
    <xdr:cxnSp macro="">
      <xdr:nvCxnSpPr>
        <xdr:cNvPr id="140" name="Straight Connector 139">
          <a:extLst>
            <a:ext uri="{FF2B5EF4-FFF2-40B4-BE49-F238E27FC236}">
              <a16:creationId xmlns:a16="http://schemas.microsoft.com/office/drawing/2014/main" id="{00000000-0008-0000-0100-00008C000000}"/>
            </a:ext>
          </a:extLst>
        </xdr:cNvPr>
        <xdr:cNvCxnSpPr>
          <a:stCxn id="102" idx="7"/>
          <a:endCxn id="112" idx="2"/>
        </xdr:cNvCxnSpPr>
      </xdr:nvCxnSpPr>
      <xdr:spPr>
        <a:xfrm flipV="1">
          <a:off x="7034123" y="10741170"/>
          <a:ext cx="1078579" cy="689372"/>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441614</xdr:colOff>
      <xdr:row>63</xdr:row>
      <xdr:rowOff>148504</xdr:rowOff>
    </xdr:from>
    <xdr:to>
      <xdr:col>18</xdr:col>
      <xdr:colOff>155864</xdr:colOff>
      <xdr:row>66</xdr:row>
      <xdr:rowOff>188876</xdr:rowOff>
    </xdr:to>
    <xdr:cxnSp macro="">
      <xdr:nvCxnSpPr>
        <xdr:cNvPr id="141" name="Straight Connector 140">
          <a:extLst>
            <a:ext uri="{FF2B5EF4-FFF2-40B4-BE49-F238E27FC236}">
              <a16:creationId xmlns:a16="http://schemas.microsoft.com/office/drawing/2014/main" id="{00000000-0008-0000-0100-00008D000000}"/>
            </a:ext>
          </a:extLst>
        </xdr:cNvPr>
        <xdr:cNvCxnSpPr>
          <a:endCxn id="115" idx="2"/>
        </xdr:cNvCxnSpPr>
      </xdr:nvCxnSpPr>
      <xdr:spPr>
        <a:xfrm flipV="1">
          <a:off x="10204739" y="10749829"/>
          <a:ext cx="1019175" cy="640447"/>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482312</xdr:colOff>
      <xdr:row>63</xdr:row>
      <xdr:rowOff>139845</xdr:rowOff>
    </xdr:from>
    <xdr:to>
      <xdr:col>5</xdr:col>
      <xdr:colOff>203722</xdr:colOff>
      <xdr:row>67</xdr:row>
      <xdr:rowOff>6603</xdr:rowOff>
    </xdr:to>
    <xdr:cxnSp macro="">
      <xdr:nvCxnSpPr>
        <xdr:cNvPr id="143" name="Straight Connector 142">
          <a:extLst>
            <a:ext uri="{FF2B5EF4-FFF2-40B4-BE49-F238E27FC236}">
              <a16:creationId xmlns:a16="http://schemas.microsoft.com/office/drawing/2014/main" id="{00000000-0008-0000-0100-00008F000000}"/>
            </a:ext>
          </a:extLst>
        </xdr:cNvPr>
        <xdr:cNvCxnSpPr>
          <a:stCxn id="99" idx="6"/>
        </xdr:cNvCxnSpPr>
      </xdr:nvCxnSpPr>
      <xdr:spPr>
        <a:xfrm>
          <a:off x="2044412" y="10741170"/>
          <a:ext cx="950135" cy="657333"/>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482310</xdr:colOff>
      <xdr:row>63</xdr:row>
      <xdr:rowOff>131186</xdr:rowOff>
    </xdr:from>
    <xdr:to>
      <xdr:col>10</xdr:col>
      <xdr:colOff>224793</xdr:colOff>
      <xdr:row>67</xdr:row>
      <xdr:rowOff>29982</xdr:rowOff>
    </xdr:to>
    <xdr:cxnSp macro="">
      <xdr:nvCxnSpPr>
        <xdr:cNvPr id="144" name="Straight Connector 143">
          <a:extLst>
            <a:ext uri="{FF2B5EF4-FFF2-40B4-BE49-F238E27FC236}">
              <a16:creationId xmlns:a16="http://schemas.microsoft.com/office/drawing/2014/main" id="{00000000-0008-0000-0100-000090000000}"/>
            </a:ext>
          </a:extLst>
        </xdr:cNvPr>
        <xdr:cNvCxnSpPr>
          <a:stCxn id="110" idx="6"/>
          <a:endCxn id="101" idx="1"/>
        </xdr:cNvCxnSpPr>
      </xdr:nvCxnSpPr>
      <xdr:spPr>
        <a:xfrm>
          <a:off x="5120985" y="10732511"/>
          <a:ext cx="980733" cy="689371"/>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473652</xdr:colOff>
      <xdr:row>63</xdr:row>
      <xdr:rowOff>139845</xdr:rowOff>
    </xdr:from>
    <xdr:to>
      <xdr:col>15</xdr:col>
      <xdr:colOff>112224</xdr:colOff>
      <xdr:row>67</xdr:row>
      <xdr:rowOff>4004</xdr:rowOff>
    </xdr:to>
    <xdr:cxnSp macro="">
      <xdr:nvCxnSpPr>
        <xdr:cNvPr id="145" name="Straight Connector 144">
          <a:extLst>
            <a:ext uri="{FF2B5EF4-FFF2-40B4-BE49-F238E27FC236}">
              <a16:creationId xmlns:a16="http://schemas.microsoft.com/office/drawing/2014/main" id="{00000000-0008-0000-0100-000091000000}"/>
            </a:ext>
          </a:extLst>
        </xdr:cNvPr>
        <xdr:cNvCxnSpPr>
          <a:stCxn id="112" idx="6"/>
          <a:endCxn id="104" idx="1"/>
        </xdr:cNvCxnSpPr>
      </xdr:nvCxnSpPr>
      <xdr:spPr>
        <a:xfrm>
          <a:off x="8465127" y="10741170"/>
          <a:ext cx="876822" cy="654734"/>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508289</xdr:colOff>
      <xdr:row>63</xdr:row>
      <xdr:rowOff>148504</xdr:rowOff>
    </xdr:from>
    <xdr:to>
      <xdr:col>20</xdr:col>
      <xdr:colOff>328702</xdr:colOff>
      <xdr:row>67</xdr:row>
      <xdr:rowOff>12663</xdr:rowOff>
    </xdr:to>
    <xdr:cxnSp macro="">
      <xdr:nvCxnSpPr>
        <xdr:cNvPr id="147" name="Straight Connector 146">
          <a:extLst>
            <a:ext uri="{FF2B5EF4-FFF2-40B4-BE49-F238E27FC236}">
              <a16:creationId xmlns:a16="http://schemas.microsoft.com/office/drawing/2014/main" id="{00000000-0008-0000-0100-000093000000}"/>
            </a:ext>
          </a:extLst>
        </xdr:cNvPr>
        <xdr:cNvCxnSpPr>
          <a:stCxn id="115" idx="6"/>
          <a:endCxn id="108" idx="1"/>
        </xdr:cNvCxnSpPr>
      </xdr:nvCxnSpPr>
      <xdr:spPr>
        <a:xfrm>
          <a:off x="11576339" y="10749829"/>
          <a:ext cx="1096763" cy="654734"/>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485486</xdr:colOff>
      <xdr:row>67</xdr:row>
      <xdr:rowOff>135949</xdr:rowOff>
    </xdr:from>
    <xdr:to>
      <xdr:col>6</xdr:col>
      <xdr:colOff>129887</xdr:colOff>
      <xdr:row>67</xdr:row>
      <xdr:rowOff>136815</xdr:rowOff>
    </xdr:to>
    <xdr:cxnSp macro="">
      <xdr:nvCxnSpPr>
        <xdr:cNvPr id="148" name="Straight Connector 147">
          <a:extLst>
            <a:ext uri="{FF2B5EF4-FFF2-40B4-BE49-F238E27FC236}">
              <a16:creationId xmlns:a16="http://schemas.microsoft.com/office/drawing/2014/main" id="{00000000-0008-0000-0100-000094000000}"/>
            </a:ext>
          </a:extLst>
        </xdr:cNvPr>
        <xdr:cNvCxnSpPr>
          <a:stCxn id="96" idx="6"/>
          <a:endCxn id="97" idx="2"/>
        </xdr:cNvCxnSpPr>
      </xdr:nvCxnSpPr>
      <xdr:spPr>
        <a:xfrm flipV="1">
          <a:off x="3276311" y="11527849"/>
          <a:ext cx="273051" cy="866"/>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528205</xdr:colOff>
      <xdr:row>67</xdr:row>
      <xdr:rowOff>152835</xdr:rowOff>
    </xdr:from>
    <xdr:to>
      <xdr:col>11</xdr:col>
      <xdr:colOff>199159</xdr:colOff>
      <xdr:row>67</xdr:row>
      <xdr:rowOff>155863</xdr:rowOff>
    </xdr:to>
    <xdr:cxnSp macro="">
      <xdr:nvCxnSpPr>
        <xdr:cNvPr id="149" name="Straight Connector 148">
          <a:extLst>
            <a:ext uri="{FF2B5EF4-FFF2-40B4-BE49-F238E27FC236}">
              <a16:creationId xmlns:a16="http://schemas.microsoft.com/office/drawing/2014/main" id="{00000000-0008-0000-0100-000095000000}"/>
            </a:ext>
          </a:extLst>
        </xdr:cNvPr>
        <xdr:cNvCxnSpPr>
          <a:endCxn id="102" idx="2"/>
        </xdr:cNvCxnSpPr>
      </xdr:nvCxnSpPr>
      <xdr:spPr>
        <a:xfrm flipV="1">
          <a:off x="6405130" y="11544735"/>
          <a:ext cx="328179" cy="3028"/>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424295</xdr:colOff>
      <xdr:row>67</xdr:row>
      <xdr:rowOff>103908</xdr:rowOff>
    </xdr:from>
    <xdr:to>
      <xdr:col>16</xdr:col>
      <xdr:colOff>112568</xdr:colOff>
      <xdr:row>67</xdr:row>
      <xdr:rowOff>109539</xdr:rowOff>
    </xdr:to>
    <xdr:cxnSp macro="">
      <xdr:nvCxnSpPr>
        <xdr:cNvPr id="151" name="Straight Connector 150">
          <a:extLst>
            <a:ext uri="{FF2B5EF4-FFF2-40B4-BE49-F238E27FC236}">
              <a16:creationId xmlns:a16="http://schemas.microsoft.com/office/drawing/2014/main" id="{00000000-0008-0000-0100-000097000000}"/>
            </a:ext>
          </a:extLst>
        </xdr:cNvPr>
        <xdr:cNvCxnSpPr>
          <a:endCxn id="106" idx="2"/>
        </xdr:cNvCxnSpPr>
      </xdr:nvCxnSpPr>
      <xdr:spPr>
        <a:xfrm>
          <a:off x="9654020" y="11495808"/>
          <a:ext cx="221673" cy="5631"/>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132195</xdr:colOff>
      <xdr:row>65</xdr:row>
      <xdr:rowOff>190500</xdr:rowOff>
    </xdr:from>
    <xdr:to>
      <xdr:col>4</xdr:col>
      <xdr:colOff>487218</xdr:colOff>
      <xdr:row>65</xdr:row>
      <xdr:rowOff>199160</xdr:rowOff>
    </xdr:to>
    <xdr:cxnSp macro="">
      <xdr:nvCxnSpPr>
        <xdr:cNvPr id="153" name="Straight Connector 152">
          <a:extLst>
            <a:ext uri="{FF2B5EF4-FFF2-40B4-BE49-F238E27FC236}">
              <a16:creationId xmlns:a16="http://schemas.microsoft.com/office/drawing/2014/main" id="{00000000-0008-0000-0100-000099000000}"/>
            </a:ext>
          </a:extLst>
        </xdr:cNvPr>
        <xdr:cNvCxnSpPr/>
      </xdr:nvCxnSpPr>
      <xdr:spPr>
        <a:xfrm flipV="1">
          <a:off x="1084695" y="11191875"/>
          <a:ext cx="1574223" cy="866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173182</xdr:colOff>
      <xdr:row>65</xdr:row>
      <xdr:rowOff>190500</xdr:rowOff>
    </xdr:from>
    <xdr:to>
      <xdr:col>9</xdr:col>
      <xdr:colOff>510886</xdr:colOff>
      <xdr:row>65</xdr:row>
      <xdr:rowOff>190500</xdr:rowOff>
    </xdr:to>
    <xdr:cxnSp macro="">
      <xdr:nvCxnSpPr>
        <xdr:cNvPr id="154" name="Straight Connector 153">
          <a:extLst>
            <a:ext uri="{FF2B5EF4-FFF2-40B4-BE49-F238E27FC236}">
              <a16:creationId xmlns:a16="http://schemas.microsoft.com/office/drawing/2014/main" id="{00000000-0008-0000-0100-00009A000000}"/>
            </a:ext>
          </a:extLst>
        </xdr:cNvPr>
        <xdr:cNvCxnSpPr/>
      </xdr:nvCxnSpPr>
      <xdr:spPr>
        <a:xfrm>
          <a:off x="4202257" y="11191875"/>
          <a:ext cx="1556904"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112568</xdr:colOff>
      <xdr:row>65</xdr:row>
      <xdr:rowOff>190500</xdr:rowOff>
    </xdr:from>
    <xdr:to>
      <xdr:col>14</xdr:col>
      <xdr:colOff>484909</xdr:colOff>
      <xdr:row>65</xdr:row>
      <xdr:rowOff>190500</xdr:rowOff>
    </xdr:to>
    <xdr:cxnSp macro="">
      <xdr:nvCxnSpPr>
        <xdr:cNvPr id="155" name="Straight Connector 154">
          <a:extLst>
            <a:ext uri="{FF2B5EF4-FFF2-40B4-BE49-F238E27FC236}">
              <a16:creationId xmlns:a16="http://schemas.microsoft.com/office/drawing/2014/main" id="{00000000-0008-0000-0100-00009B000000}"/>
            </a:ext>
          </a:extLst>
        </xdr:cNvPr>
        <xdr:cNvCxnSpPr/>
      </xdr:nvCxnSpPr>
      <xdr:spPr>
        <a:xfrm>
          <a:off x="7418243" y="11191875"/>
          <a:ext cx="1667741"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199159</xdr:colOff>
      <xdr:row>65</xdr:row>
      <xdr:rowOff>181841</xdr:rowOff>
    </xdr:from>
    <xdr:to>
      <xdr:col>19</xdr:col>
      <xdr:colOff>597477</xdr:colOff>
      <xdr:row>66</xdr:row>
      <xdr:rowOff>0</xdr:rowOff>
    </xdr:to>
    <xdr:cxnSp macro="">
      <xdr:nvCxnSpPr>
        <xdr:cNvPr id="157" name="Straight Connector 156">
          <a:extLst>
            <a:ext uri="{FF2B5EF4-FFF2-40B4-BE49-F238E27FC236}">
              <a16:creationId xmlns:a16="http://schemas.microsoft.com/office/drawing/2014/main" id="{00000000-0008-0000-0100-00009D000000}"/>
            </a:ext>
          </a:extLst>
        </xdr:cNvPr>
        <xdr:cNvCxnSpPr/>
      </xdr:nvCxnSpPr>
      <xdr:spPr>
        <a:xfrm>
          <a:off x="10571884" y="11183216"/>
          <a:ext cx="1760393" cy="1818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147205</xdr:colOff>
      <xdr:row>63</xdr:row>
      <xdr:rowOff>34637</xdr:rowOff>
    </xdr:from>
    <xdr:to>
      <xdr:col>9</xdr:col>
      <xdr:colOff>554181</xdr:colOff>
      <xdr:row>65</xdr:row>
      <xdr:rowOff>190502</xdr:rowOff>
    </xdr:to>
    <xdr:sp macro="" textlink="">
      <xdr:nvSpPr>
        <xdr:cNvPr id="158" name="Isosceles Triangle 157">
          <a:extLst>
            <a:ext uri="{FF2B5EF4-FFF2-40B4-BE49-F238E27FC236}">
              <a16:creationId xmlns:a16="http://schemas.microsoft.com/office/drawing/2014/main" id="{00000000-0008-0000-0100-00009E000000}"/>
            </a:ext>
          </a:extLst>
        </xdr:cNvPr>
        <xdr:cNvSpPr/>
      </xdr:nvSpPr>
      <xdr:spPr>
        <a:xfrm>
          <a:off x="4176280" y="10635962"/>
          <a:ext cx="1626176" cy="555915"/>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173182</xdr:colOff>
      <xdr:row>63</xdr:row>
      <xdr:rowOff>34636</xdr:rowOff>
    </xdr:from>
    <xdr:to>
      <xdr:col>14</xdr:col>
      <xdr:colOff>502227</xdr:colOff>
      <xdr:row>65</xdr:row>
      <xdr:rowOff>190501</xdr:rowOff>
    </xdr:to>
    <xdr:sp macro="" textlink="">
      <xdr:nvSpPr>
        <xdr:cNvPr id="160" name="Isosceles Triangle 159">
          <a:extLst>
            <a:ext uri="{FF2B5EF4-FFF2-40B4-BE49-F238E27FC236}">
              <a16:creationId xmlns:a16="http://schemas.microsoft.com/office/drawing/2014/main" id="{00000000-0008-0000-0100-0000A0000000}"/>
            </a:ext>
          </a:extLst>
        </xdr:cNvPr>
        <xdr:cNvSpPr/>
      </xdr:nvSpPr>
      <xdr:spPr>
        <a:xfrm>
          <a:off x="7478857" y="10635961"/>
          <a:ext cx="1624445" cy="555915"/>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233795</xdr:colOff>
      <xdr:row>63</xdr:row>
      <xdr:rowOff>17318</xdr:rowOff>
    </xdr:from>
    <xdr:to>
      <xdr:col>19</xdr:col>
      <xdr:colOff>493567</xdr:colOff>
      <xdr:row>65</xdr:row>
      <xdr:rowOff>173183</xdr:rowOff>
    </xdr:to>
    <xdr:sp macro="" textlink="">
      <xdr:nvSpPr>
        <xdr:cNvPr id="163" name="Isosceles Triangle 162">
          <a:extLst>
            <a:ext uri="{FF2B5EF4-FFF2-40B4-BE49-F238E27FC236}">
              <a16:creationId xmlns:a16="http://schemas.microsoft.com/office/drawing/2014/main" id="{00000000-0008-0000-0100-0000A3000000}"/>
            </a:ext>
          </a:extLst>
        </xdr:cNvPr>
        <xdr:cNvSpPr/>
      </xdr:nvSpPr>
      <xdr:spPr>
        <a:xfrm>
          <a:off x="10606520" y="10618643"/>
          <a:ext cx="1621847" cy="555915"/>
        </a:xfrm>
        <a:prstGeom prst="triangle">
          <a:avLst/>
        </a:prstGeom>
        <a:solidFill>
          <a:schemeClr val="accent5">
            <a:lumMod val="20000"/>
            <a:lumOff val="8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593482</xdr:colOff>
      <xdr:row>311</xdr:row>
      <xdr:rowOff>29307</xdr:rowOff>
    </xdr:from>
    <xdr:to>
      <xdr:col>30</xdr:col>
      <xdr:colOff>710712</xdr:colOff>
      <xdr:row>338</xdr:row>
      <xdr:rowOff>175845</xdr:rowOff>
    </xdr:to>
    <xdr:graphicFrame macro="">
      <xdr:nvGraphicFramePr>
        <xdr:cNvPr id="164" name="Chart 163">
          <a:extLst>
            <a:ext uri="{FF2B5EF4-FFF2-40B4-BE49-F238E27FC236}">
              <a16:creationId xmlns:a16="http://schemas.microsoft.com/office/drawing/2014/main" id="{00000000-0008-0000-01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45</xdr:col>
      <xdr:colOff>326574</xdr:colOff>
      <xdr:row>26</xdr:row>
      <xdr:rowOff>108857</xdr:rowOff>
    </xdr:from>
    <xdr:to>
      <xdr:col>47</xdr:col>
      <xdr:colOff>653144</xdr:colOff>
      <xdr:row>27</xdr:row>
      <xdr:rowOff>183695</xdr:rowOff>
    </xdr:to>
    <xdr:cxnSp macro="">
      <xdr:nvCxnSpPr>
        <xdr:cNvPr id="31" name="Elbow Connector 30">
          <a:extLst>
            <a:ext uri="{FF2B5EF4-FFF2-40B4-BE49-F238E27FC236}">
              <a16:creationId xmlns:a16="http://schemas.microsoft.com/office/drawing/2014/main" id="{00000000-0008-0000-0100-00001F000000}"/>
            </a:ext>
          </a:extLst>
        </xdr:cNvPr>
        <xdr:cNvCxnSpPr/>
      </xdr:nvCxnSpPr>
      <xdr:spPr>
        <a:xfrm rot="10800000" flipV="1">
          <a:off x="30888217" y="5789839"/>
          <a:ext cx="1551213" cy="272142"/>
        </a:xfrm>
        <a:prstGeom prst="bentConnector3">
          <a:avLst>
            <a:gd name="adj1" fmla="val 9956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13607</xdr:colOff>
      <xdr:row>26</xdr:row>
      <xdr:rowOff>88447</xdr:rowOff>
    </xdr:from>
    <xdr:to>
      <xdr:col>51</xdr:col>
      <xdr:colOff>319768</xdr:colOff>
      <xdr:row>27</xdr:row>
      <xdr:rowOff>170090</xdr:rowOff>
    </xdr:to>
    <xdr:cxnSp macro="">
      <xdr:nvCxnSpPr>
        <xdr:cNvPr id="38" name="Elbow Connector 37">
          <a:extLst>
            <a:ext uri="{FF2B5EF4-FFF2-40B4-BE49-F238E27FC236}">
              <a16:creationId xmlns:a16="http://schemas.microsoft.com/office/drawing/2014/main" id="{00000000-0008-0000-0100-000026000000}"/>
            </a:ext>
          </a:extLst>
        </xdr:cNvPr>
        <xdr:cNvCxnSpPr/>
      </xdr:nvCxnSpPr>
      <xdr:spPr>
        <a:xfrm>
          <a:off x="33085768" y="5769429"/>
          <a:ext cx="1530804" cy="278947"/>
        </a:xfrm>
        <a:prstGeom prst="bentConnector3">
          <a:avLst>
            <a:gd name="adj1" fmla="val 99778"/>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326572</xdr:colOff>
      <xdr:row>26</xdr:row>
      <xdr:rowOff>190500</xdr:rowOff>
    </xdr:from>
    <xdr:to>
      <xdr:col>48</xdr:col>
      <xdr:colOff>326572</xdr:colOff>
      <xdr:row>28</xdr:row>
      <xdr:rowOff>20410</xdr:rowOff>
    </xdr:to>
    <xdr:cxnSp macro="">
      <xdr:nvCxnSpPr>
        <xdr:cNvPr id="49" name="Straight Arrow Connector 48">
          <a:extLst>
            <a:ext uri="{FF2B5EF4-FFF2-40B4-BE49-F238E27FC236}">
              <a16:creationId xmlns:a16="http://schemas.microsoft.com/office/drawing/2014/main" id="{00000000-0008-0000-0100-000031000000}"/>
            </a:ext>
          </a:extLst>
        </xdr:cNvPr>
        <xdr:cNvCxnSpPr/>
      </xdr:nvCxnSpPr>
      <xdr:spPr>
        <a:xfrm>
          <a:off x="32786411" y="5871482"/>
          <a:ext cx="0" cy="21771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312964</xdr:colOff>
      <xdr:row>29</xdr:row>
      <xdr:rowOff>6804</xdr:rowOff>
    </xdr:from>
    <xdr:to>
      <xdr:col>45</xdr:col>
      <xdr:colOff>319768</xdr:colOff>
      <xdr:row>29</xdr:row>
      <xdr:rowOff>224518</xdr:rowOff>
    </xdr:to>
    <xdr:cxnSp macro="">
      <xdr:nvCxnSpPr>
        <xdr:cNvPr id="53" name="Straight Arrow Connector 52">
          <a:extLst>
            <a:ext uri="{FF2B5EF4-FFF2-40B4-BE49-F238E27FC236}">
              <a16:creationId xmlns:a16="http://schemas.microsoft.com/office/drawing/2014/main" id="{00000000-0008-0000-0100-000035000000}"/>
            </a:ext>
          </a:extLst>
        </xdr:cNvPr>
        <xdr:cNvCxnSpPr/>
      </xdr:nvCxnSpPr>
      <xdr:spPr>
        <a:xfrm>
          <a:off x="30874607" y="6272893"/>
          <a:ext cx="6804" cy="21771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333375</xdr:colOff>
      <xdr:row>29</xdr:row>
      <xdr:rowOff>6803</xdr:rowOff>
    </xdr:from>
    <xdr:to>
      <xdr:col>48</xdr:col>
      <xdr:colOff>340179</xdr:colOff>
      <xdr:row>29</xdr:row>
      <xdr:rowOff>224517</xdr:rowOff>
    </xdr:to>
    <xdr:cxnSp macro="">
      <xdr:nvCxnSpPr>
        <xdr:cNvPr id="165" name="Straight Arrow Connector 164">
          <a:extLst>
            <a:ext uri="{FF2B5EF4-FFF2-40B4-BE49-F238E27FC236}">
              <a16:creationId xmlns:a16="http://schemas.microsoft.com/office/drawing/2014/main" id="{00000000-0008-0000-0100-0000A5000000}"/>
            </a:ext>
          </a:extLst>
        </xdr:cNvPr>
        <xdr:cNvCxnSpPr/>
      </xdr:nvCxnSpPr>
      <xdr:spPr>
        <a:xfrm>
          <a:off x="32793214" y="6272892"/>
          <a:ext cx="6804" cy="21771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333375</xdr:colOff>
      <xdr:row>29</xdr:row>
      <xdr:rowOff>20410</xdr:rowOff>
    </xdr:from>
    <xdr:to>
      <xdr:col>51</xdr:col>
      <xdr:colOff>340179</xdr:colOff>
      <xdr:row>29</xdr:row>
      <xdr:rowOff>238124</xdr:rowOff>
    </xdr:to>
    <xdr:cxnSp macro="">
      <xdr:nvCxnSpPr>
        <xdr:cNvPr id="166" name="Straight Arrow Connector 165">
          <a:extLst>
            <a:ext uri="{FF2B5EF4-FFF2-40B4-BE49-F238E27FC236}">
              <a16:creationId xmlns:a16="http://schemas.microsoft.com/office/drawing/2014/main" id="{00000000-0008-0000-0100-0000A6000000}"/>
            </a:ext>
          </a:extLst>
        </xdr:cNvPr>
        <xdr:cNvCxnSpPr/>
      </xdr:nvCxnSpPr>
      <xdr:spPr>
        <a:xfrm>
          <a:off x="34630179" y="6286499"/>
          <a:ext cx="6804" cy="21771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132629</xdr:colOff>
      <xdr:row>243</xdr:row>
      <xdr:rowOff>174334</xdr:rowOff>
    </xdr:from>
    <xdr:to>
      <xdr:col>18</xdr:col>
      <xdr:colOff>636060</xdr:colOff>
      <xdr:row>274</xdr:row>
      <xdr:rowOff>167984</xdr:rowOff>
    </xdr:to>
    <xdr:graphicFrame macro="">
      <xdr:nvGraphicFramePr>
        <xdr:cNvPr id="167" name="Chart 7">
          <a:extLst>
            <a:ext uri="{FF2B5EF4-FFF2-40B4-BE49-F238E27FC236}">
              <a16:creationId xmlns:a16="http://schemas.microsoft.com/office/drawing/2014/main" id="{B9E10A76-6B79-4F06-8756-6F0DBD873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595313</xdr:colOff>
      <xdr:row>29</xdr:row>
      <xdr:rowOff>87313</xdr:rowOff>
    </xdr:from>
    <xdr:to>
      <xdr:col>8</xdr:col>
      <xdr:colOff>611188</xdr:colOff>
      <xdr:row>29</xdr:row>
      <xdr:rowOff>87313</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flipH="1">
          <a:off x="4262438" y="6072188"/>
          <a:ext cx="123825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293688</xdr:colOff>
      <xdr:row>30</xdr:row>
      <xdr:rowOff>15876</xdr:rowOff>
    </xdr:from>
    <xdr:to>
      <xdr:col>6</xdr:col>
      <xdr:colOff>293688</xdr:colOff>
      <xdr:row>31</xdr:row>
      <xdr:rowOff>182563</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a:xfrm flipV="1">
          <a:off x="3960813" y="6199189"/>
          <a:ext cx="0" cy="3651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587376</xdr:colOff>
      <xdr:row>35</xdr:row>
      <xdr:rowOff>111125</xdr:rowOff>
    </xdr:from>
    <xdr:to>
      <xdr:col>8</xdr:col>
      <xdr:colOff>611188</xdr:colOff>
      <xdr:row>35</xdr:row>
      <xdr:rowOff>111125</xdr:rowOff>
    </xdr:to>
    <xdr:cxnSp macro="">
      <xdr:nvCxnSpPr>
        <xdr:cNvPr id="8" name="Straight Arrow Connector 7">
          <a:extLst>
            <a:ext uri="{FF2B5EF4-FFF2-40B4-BE49-F238E27FC236}">
              <a16:creationId xmlns:a16="http://schemas.microsoft.com/office/drawing/2014/main" id="{00000000-0008-0000-0200-000008000000}"/>
            </a:ext>
          </a:extLst>
        </xdr:cNvPr>
        <xdr:cNvCxnSpPr/>
      </xdr:nvCxnSpPr>
      <xdr:spPr>
        <a:xfrm flipH="1">
          <a:off x="4254501" y="7635875"/>
          <a:ext cx="124618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587375</xdr:colOff>
      <xdr:row>36</xdr:row>
      <xdr:rowOff>103187</xdr:rowOff>
    </xdr:from>
    <xdr:to>
      <xdr:col>8</xdr:col>
      <xdr:colOff>611188</xdr:colOff>
      <xdr:row>36</xdr:row>
      <xdr:rowOff>103188</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H="1" flipV="1">
          <a:off x="3643313" y="7754937"/>
          <a:ext cx="1857375"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563564</xdr:colOff>
      <xdr:row>37</xdr:row>
      <xdr:rowOff>87313</xdr:rowOff>
    </xdr:from>
    <xdr:to>
      <xdr:col>8</xdr:col>
      <xdr:colOff>611188</xdr:colOff>
      <xdr:row>37</xdr:row>
      <xdr:rowOff>95250</xdr:rowOff>
    </xdr:to>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flipH="1">
          <a:off x="3008314" y="7929563"/>
          <a:ext cx="2492374" cy="79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7939</xdr:colOff>
      <xdr:row>38</xdr:row>
      <xdr:rowOff>79374</xdr:rowOff>
    </xdr:from>
    <xdr:to>
      <xdr:col>8</xdr:col>
      <xdr:colOff>611187</xdr:colOff>
      <xdr:row>38</xdr:row>
      <xdr:rowOff>95248</xdr:rowOff>
    </xdr:to>
    <xdr:cxnSp macro="">
      <xdr:nvCxnSpPr>
        <xdr:cNvPr id="14" name="Straight Arrow Connector 13">
          <a:extLst>
            <a:ext uri="{FF2B5EF4-FFF2-40B4-BE49-F238E27FC236}">
              <a16:creationId xmlns:a16="http://schemas.microsoft.com/office/drawing/2014/main" id="{00000000-0008-0000-0200-00000E000000}"/>
            </a:ext>
          </a:extLst>
        </xdr:cNvPr>
        <xdr:cNvCxnSpPr/>
      </xdr:nvCxnSpPr>
      <xdr:spPr>
        <a:xfrm flipH="1">
          <a:off x="2452689" y="8112124"/>
          <a:ext cx="3047998" cy="158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571501</xdr:colOff>
      <xdr:row>39</xdr:row>
      <xdr:rowOff>95251</xdr:rowOff>
    </xdr:from>
    <xdr:to>
      <xdr:col>8</xdr:col>
      <xdr:colOff>595313</xdr:colOff>
      <xdr:row>39</xdr:row>
      <xdr:rowOff>111126</xdr:rowOff>
    </xdr:to>
    <xdr:cxnSp macro="">
      <xdr:nvCxnSpPr>
        <xdr:cNvPr id="16" name="Straight Arrow Connector 15">
          <a:extLst>
            <a:ext uri="{FF2B5EF4-FFF2-40B4-BE49-F238E27FC236}">
              <a16:creationId xmlns:a16="http://schemas.microsoft.com/office/drawing/2014/main" id="{00000000-0008-0000-0200-000010000000}"/>
            </a:ext>
          </a:extLst>
        </xdr:cNvPr>
        <xdr:cNvCxnSpPr/>
      </xdr:nvCxnSpPr>
      <xdr:spPr>
        <a:xfrm flipH="1">
          <a:off x="1793876" y="8318501"/>
          <a:ext cx="3690937" cy="158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587375</xdr:colOff>
      <xdr:row>40</xdr:row>
      <xdr:rowOff>95250</xdr:rowOff>
    </xdr:from>
    <xdr:to>
      <xdr:col>8</xdr:col>
      <xdr:colOff>619125</xdr:colOff>
      <xdr:row>40</xdr:row>
      <xdr:rowOff>111124</xdr:rowOff>
    </xdr:to>
    <xdr:cxnSp macro="">
      <xdr:nvCxnSpPr>
        <xdr:cNvPr id="18" name="Straight Arrow Connector 17">
          <a:extLst>
            <a:ext uri="{FF2B5EF4-FFF2-40B4-BE49-F238E27FC236}">
              <a16:creationId xmlns:a16="http://schemas.microsoft.com/office/drawing/2014/main" id="{00000000-0008-0000-0200-000012000000}"/>
            </a:ext>
          </a:extLst>
        </xdr:cNvPr>
        <xdr:cNvCxnSpPr/>
      </xdr:nvCxnSpPr>
      <xdr:spPr>
        <a:xfrm flipH="1">
          <a:off x="1198563" y="8643938"/>
          <a:ext cx="4310062" cy="158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23812</xdr:colOff>
      <xdr:row>35</xdr:row>
      <xdr:rowOff>95251</xdr:rowOff>
    </xdr:from>
    <xdr:to>
      <xdr:col>12</xdr:col>
      <xdr:colOff>15875</xdr:colOff>
      <xdr:row>35</xdr:row>
      <xdr:rowOff>103188</xdr:rowOff>
    </xdr:to>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flipV="1">
          <a:off x="6223000" y="7556501"/>
          <a:ext cx="1222375" cy="79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31750</xdr:colOff>
      <xdr:row>36</xdr:row>
      <xdr:rowOff>103188</xdr:rowOff>
    </xdr:from>
    <xdr:to>
      <xdr:col>13</xdr:col>
      <xdr:colOff>31751</xdr:colOff>
      <xdr:row>36</xdr:row>
      <xdr:rowOff>111126</xdr:rowOff>
    </xdr:to>
    <xdr:cxnSp macro="">
      <xdr:nvCxnSpPr>
        <xdr:cNvPr id="22" name="Straight Arrow Connector 21">
          <a:extLst>
            <a:ext uri="{FF2B5EF4-FFF2-40B4-BE49-F238E27FC236}">
              <a16:creationId xmlns:a16="http://schemas.microsoft.com/office/drawing/2014/main" id="{00000000-0008-0000-0200-000016000000}"/>
            </a:ext>
          </a:extLst>
        </xdr:cNvPr>
        <xdr:cNvCxnSpPr/>
      </xdr:nvCxnSpPr>
      <xdr:spPr>
        <a:xfrm flipV="1">
          <a:off x="6230938" y="7754938"/>
          <a:ext cx="1841501" cy="793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682624</xdr:colOff>
      <xdr:row>37</xdr:row>
      <xdr:rowOff>103188</xdr:rowOff>
    </xdr:from>
    <xdr:to>
      <xdr:col>14</xdr:col>
      <xdr:colOff>23812</xdr:colOff>
      <xdr:row>37</xdr:row>
      <xdr:rowOff>103188</xdr:rowOff>
    </xdr:to>
    <xdr:cxnSp macro="">
      <xdr:nvCxnSpPr>
        <xdr:cNvPr id="24" name="Straight Arrow Connector 23">
          <a:extLst>
            <a:ext uri="{FF2B5EF4-FFF2-40B4-BE49-F238E27FC236}">
              <a16:creationId xmlns:a16="http://schemas.microsoft.com/office/drawing/2014/main" id="{00000000-0008-0000-0200-000018000000}"/>
            </a:ext>
          </a:extLst>
        </xdr:cNvPr>
        <xdr:cNvCxnSpPr/>
      </xdr:nvCxnSpPr>
      <xdr:spPr>
        <a:xfrm>
          <a:off x="6199187" y="7945438"/>
          <a:ext cx="24765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15874</xdr:colOff>
      <xdr:row>38</xdr:row>
      <xdr:rowOff>87313</xdr:rowOff>
    </xdr:from>
    <xdr:to>
      <xdr:col>15</xdr:col>
      <xdr:colOff>39687</xdr:colOff>
      <xdr:row>38</xdr:row>
      <xdr:rowOff>103188</xdr:rowOff>
    </xdr:to>
    <xdr:cxnSp macro="">
      <xdr:nvCxnSpPr>
        <xdr:cNvPr id="26" name="Straight Arrow Connector 25">
          <a:extLst>
            <a:ext uri="{FF2B5EF4-FFF2-40B4-BE49-F238E27FC236}">
              <a16:creationId xmlns:a16="http://schemas.microsoft.com/office/drawing/2014/main" id="{00000000-0008-0000-0200-00001A000000}"/>
            </a:ext>
          </a:extLst>
        </xdr:cNvPr>
        <xdr:cNvCxnSpPr/>
      </xdr:nvCxnSpPr>
      <xdr:spPr>
        <a:xfrm flipV="1">
          <a:off x="6215062" y="8120063"/>
          <a:ext cx="3087688" cy="158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666750</xdr:colOff>
      <xdr:row>39</xdr:row>
      <xdr:rowOff>95250</xdr:rowOff>
    </xdr:from>
    <xdr:to>
      <xdr:col>16</xdr:col>
      <xdr:colOff>7938</xdr:colOff>
      <xdr:row>39</xdr:row>
      <xdr:rowOff>95250</xdr:rowOff>
    </xdr:to>
    <xdr:cxnSp macro="">
      <xdr:nvCxnSpPr>
        <xdr:cNvPr id="28" name="Straight Arrow Connector 27">
          <a:extLst>
            <a:ext uri="{FF2B5EF4-FFF2-40B4-BE49-F238E27FC236}">
              <a16:creationId xmlns:a16="http://schemas.microsoft.com/office/drawing/2014/main" id="{00000000-0008-0000-0200-00001C000000}"/>
            </a:ext>
          </a:extLst>
        </xdr:cNvPr>
        <xdr:cNvCxnSpPr/>
      </xdr:nvCxnSpPr>
      <xdr:spPr>
        <a:xfrm>
          <a:off x="6183313" y="8318500"/>
          <a:ext cx="36988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7937</xdr:colOff>
      <xdr:row>40</xdr:row>
      <xdr:rowOff>95250</xdr:rowOff>
    </xdr:from>
    <xdr:to>
      <xdr:col>16</xdr:col>
      <xdr:colOff>587375</xdr:colOff>
      <xdr:row>40</xdr:row>
      <xdr:rowOff>103188</xdr:rowOff>
    </xdr:to>
    <xdr:cxnSp macro="">
      <xdr:nvCxnSpPr>
        <xdr:cNvPr id="30" name="Straight Arrow Connector 29">
          <a:extLst>
            <a:ext uri="{FF2B5EF4-FFF2-40B4-BE49-F238E27FC236}">
              <a16:creationId xmlns:a16="http://schemas.microsoft.com/office/drawing/2014/main" id="{00000000-0008-0000-0200-00001E000000}"/>
            </a:ext>
          </a:extLst>
        </xdr:cNvPr>
        <xdr:cNvCxnSpPr/>
      </xdr:nvCxnSpPr>
      <xdr:spPr>
        <a:xfrm>
          <a:off x="6207125" y="8628063"/>
          <a:ext cx="4254500" cy="793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293687</xdr:colOff>
      <xdr:row>30</xdr:row>
      <xdr:rowOff>7938</xdr:rowOff>
    </xdr:from>
    <xdr:to>
      <xdr:col>12</xdr:col>
      <xdr:colOff>293688</xdr:colOff>
      <xdr:row>32</xdr:row>
      <xdr:rowOff>7937</xdr:rowOff>
    </xdr:to>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flipH="1" flipV="1">
          <a:off x="7723187" y="6413501"/>
          <a:ext cx="1" cy="3968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293688</xdr:colOff>
      <xdr:row>33</xdr:row>
      <xdr:rowOff>7938</xdr:rowOff>
    </xdr:from>
    <xdr:to>
      <xdr:col>12</xdr:col>
      <xdr:colOff>301625</xdr:colOff>
      <xdr:row>34</xdr:row>
      <xdr:rowOff>166687</xdr:rowOff>
    </xdr:to>
    <xdr:cxnSp macro="">
      <xdr:nvCxnSpPr>
        <xdr:cNvPr id="34" name="Straight Arrow Connector 33">
          <a:extLst>
            <a:ext uri="{FF2B5EF4-FFF2-40B4-BE49-F238E27FC236}">
              <a16:creationId xmlns:a16="http://schemas.microsoft.com/office/drawing/2014/main" id="{00000000-0008-0000-0200-000022000000}"/>
            </a:ext>
          </a:extLst>
        </xdr:cNvPr>
        <xdr:cNvCxnSpPr/>
      </xdr:nvCxnSpPr>
      <xdr:spPr>
        <a:xfrm flipH="1">
          <a:off x="7723188" y="7008813"/>
          <a:ext cx="7937" cy="3571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301626</xdr:colOff>
      <xdr:row>33</xdr:row>
      <xdr:rowOff>15875</xdr:rowOff>
    </xdr:from>
    <xdr:to>
      <xdr:col>6</xdr:col>
      <xdr:colOff>309563</xdr:colOff>
      <xdr:row>34</xdr:row>
      <xdr:rowOff>182562</xdr:rowOff>
    </xdr:to>
    <xdr:cxnSp macro="">
      <xdr:nvCxnSpPr>
        <xdr:cNvPr id="37" name="Straight Arrow Connector 36">
          <a:extLst>
            <a:ext uri="{FF2B5EF4-FFF2-40B4-BE49-F238E27FC236}">
              <a16:creationId xmlns:a16="http://schemas.microsoft.com/office/drawing/2014/main" id="{00000000-0008-0000-0200-000025000000}"/>
            </a:ext>
          </a:extLst>
        </xdr:cNvPr>
        <xdr:cNvCxnSpPr/>
      </xdr:nvCxnSpPr>
      <xdr:spPr>
        <a:xfrm flipH="1">
          <a:off x="3968751" y="7016750"/>
          <a:ext cx="7937" cy="3651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301626</xdr:colOff>
      <xdr:row>33</xdr:row>
      <xdr:rowOff>15875</xdr:rowOff>
    </xdr:from>
    <xdr:to>
      <xdr:col>5</xdr:col>
      <xdr:colOff>309562</xdr:colOff>
      <xdr:row>35</xdr:row>
      <xdr:rowOff>182563</xdr:rowOff>
    </xdr:to>
    <xdr:cxnSp macro="">
      <xdr:nvCxnSpPr>
        <xdr:cNvPr id="38" name="Straight Arrow Connector 37">
          <a:extLst>
            <a:ext uri="{FF2B5EF4-FFF2-40B4-BE49-F238E27FC236}">
              <a16:creationId xmlns:a16="http://schemas.microsoft.com/office/drawing/2014/main" id="{00000000-0008-0000-0200-000026000000}"/>
            </a:ext>
          </a:extLst>
        </xdr:cNvPr>
        <xdr:cNvCxnSpPr/>
      </xdr:nvCxnSpPr>
      <xdr:spPr>
        <a:xfrm flipH="1">
          <a:off x="3357564" y="6794500"/>
          <a:ext cx="7936" cy="56356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285751</xdr:colOff>
      <xdr:row>33</xdr:row>
      <xdr:rowOff>7938</xdr:rowOff>
    </xdr:from>
    <xdr:to>
      <xdr:col>4</xdr:col>
      <xdr:colOff>293688</xdr:colOff>
      <xdr:row>36</xdr:row>
      <xdr:rowOff>182562</xdr:rowOff>
    </xdr:to>
    <xdr:cxnSp macro="">
      <xdr:nvCxnSpPr>
        <xdr:cNvPr id="40" name="Straight Arrow Connector 39">
          <a:extLst>
            <a:ext uri="{FF2B5EF4-FFF2-40B4-BE49-F238E27FC236}">
              <a16:creationId xmlns:a16="http://schemas.microsoft.com/office/drawing/2014/main" id="{00000000-0008-0000-0200-000028000000}"/>
            </a:ext>
          </a:extLst>
        </xdr:cNvPr>
        <xdr:cNvCxnSpPr/>
      </xdr:nvCxnSpPr>
      <xdr:spPr>
        <a:xfrm flipH="1">
          <a:off x="2730501" y="6786563"/>
          <a:ext cx="7937" cy="7699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325438</xdr:colOff>
      <xdr:row>33</xdr:row>
      <xdr:rowOff>7938</xdr:rowOff>
    </xdr:from>
    <xdr:to>
      <xdr:col>3</xdr:col>
      <xdr:colOff>333375</xdr:colOff>
      <xdr:row>37</xdr:row>
      <xdr:rowOff>174625</xdr:rowOff>
    </xdr:to>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flipH="1">
          <a:off x="2159001" y="6786563"/>
          <a:ext cx="7937" cy="9604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301625</xdr:colOff>
      <xdr:row>33</xdr:row>
      <xdr:rowOff>31750</xdr:rowOff>
    </xdr:from>
    <xdr:to>
      <xdr:col>2</xdr:col>
      <xdr:colOff>309563</xdr:colOff>
      <xdr:row>38</xdr:row>
      <xdr:rowOff>158750</xdr:rowOff>
    </xdr:to>
    <xdr:cxnSp macro="">
      <xdr:nvCxnSpPr>
        <xdr:cNvPr id="44" name="Straight Arrow Connector 43">
          <a:extLst>
            <a:ext uri="{FF2B5EF4-FFF2-40B4-BE49-F238E27FC236}">
              <a16:creationId xmlns:a16="http://schemas.microsoft.com/office/drawing/2014/main" id="{00000000-0008-0000-0200-00002C000000}"/>
            </a:ext>
          </a:extLst>
        </xdr:cNvPr>
        <xdr:cNvCxnSpPr/>
      </xdr:nvCxnSpPr>
      <xdr:spPr>
        <a:xfrm flipH="1">
          <a:off x="1524000" y="6810375"/>
          <a:ext cx="7938" cy="11191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309562</xdr:colOff>
      <xdr:row>32</xdr:row>
      <xdr:rowOff>190500</xdr:rowOff>
    </xdr:from>
    <xdr:to>
      <xdr:col>1</xdr:col>
      <xdr:colOff>309565</xdr:colOff>
      <xdr:row>39</xdr:row>
      <xdr:rowOff>190500</xdr:rowOff>
    </xdr:to>
    <xdr:cxnSp macro="">
      <xdr:nvCxnSpPr>
        <xdr:cNvPr id="46" name="Straight Arrow Connector 45">
          <a:extLst>
            <a:ext uri="{FF2B5EF4-FFF2-40B4-BE49-F238E27FC236}">
              <a16:creationId xmlns:a16="http://schemas.microsoft.com/office/drawing/2014/main" id="{00000000-0008-0000-0200-00002E000000}"/>
            </a:ext>
          </a:extLst>
        </xdr:cNvPr>
        <xdr:cNvCxnSpPr/>
      </xdr:nvCxnSpPr>
      <xdr:spPr>
        <a:xfrm flipH="1">
          <a:off x="920750" y="6191250"/>
          <a:ext cx="3" cy="1190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603250</xdr:colOff>
      <xdr:row>28</xdr:row>
      <xdr:rowOff>87313</xdr:rowOff>
    </xdr:from>
    <xdr:to>
      <xdr:col>8</xdr:col>
      <xdr:colOff>611188</xdr:colOff>
      <xdr:row>28</xdr:row>
      <xdr:rowOff>87313</xdr:rowOff>
    </xdr:to>
    <xdr:cxnSp macro="">
      <xdr:nvCxnSpPr>
        <xdr:cNvPr id="48" name="Straight Arrow Connector 47">
          <a:extLst>
            <a:ext uri="{FF2B5EF4-FFF2-40B4-BE49-F238E27FC236}">
              <a16:creationId xmlns:a16="http://schemas.microsoft.com/office/drawing/2014/main" id="{00000000-0008-0000-0200-000030000000}"/>
            </a:ext>
          </a:extLst>
        </xdr:cNvPr>
        <xdr:cNvCxnSpPr/>
      </xdr:nvCxnSpPr>
      <xdr:spPr>
        <a:xfrm flipH="1">
          <a:off x="3659188" y="6175376"/>
          <a:ext cx="18415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587376</xdr:colOff>
      <xdr:row>27</xdr:row>
      <xdr:rowOff>95251</xdr:rowOff>
    </xdr:from>
    <xdr:to>
      <xdr:col>8</xdr:col>
      <xdr:colOff>611188</xdr:colOff>
      <xdr:row>27</xdr:row>
      <xdr:rowOff>111125</xdr:rowOff>
    </xdr:to>
    <xdr:cxnSp macro="">
      <xdr:nvCxnSpPr>
        <xdr:cNvPr id="49" name="Straight Arrow Connector 48">
          <a:extLst>
            <a:ext uri="{FF2B5EF4-FFF2-40B4-BE49-F238E27FC236}">
              <a16:creationId xmlns:a16="http://schemas.microsoft.com/office/drawing/2014/main" id="{00000000-0008-0000-0200-000031000000}"/>
            </a:ext>
          </a:extLst>
        </xdr:cNvPr>
        <xdr:cNvCxnSpPr/>
      </xdr:nvCxnSpPr>
      <xdr:spPr>
        <a:xfrm flipH="1">
          <a:off x="3032126" y="5984876"/>
          <a:ext cx="2468562" cy="158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603250</xdr:colOff>
      <xdr:row>26</xdr:row>
      <xdr:rowOff>95250</xdr:rowOff>
    </xdr:from>
    <xdr:to>
      <xdr:col>8</xdr:col>
      <xdr:colOff>619125</xdr:colOff>
      <xdr:row>26</xdr:row>
      <xdr:rowOff>103187</xdr:rowOff>
    </xdr:to>
    <xdr:cxnSp macro="">
      <xdr:nvCxnSpPr>
        <xdr:cNvPr id="50" name="Straight Arrow Connector 49">
          <a:extLst>
            <a:ext uri="{FF2B5EF4-FFF2-40B4-BE49-F238E27FC236}">
              <a16:creationId xmlns:a16="http://schemas.microsoft.com/office/drawing/2014/main" id="{00000000-0008-0000-0200-000032000000}"/>
            </a:ext>
          </a:extLst>
        </xdr:cNvPr>
        <xdr:cNvCxnSpPr/>
      </xdr:nvCxnSpPr>
      <xdr:spPr>
        <a:xfrm flipH="1">
          <a:off x="2436813" y="5786438"/>
          <a:ext cx="3071812" cy="79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603252</xdr:colOff>
      <xdr:row>25</xdr:row>
      <xdr:rowOff>87313</xdr:rowOff>
    </xdr:from>
    <xdr:to>
      <xdr:col>9</xdr:col>
      <xdr:colOff>0</xdr:colOff>
      <xdr:row>25</xdr:row>
      <xdr:rowOff>103188</xdr:rowOff>
    </xdr:to>
    <xdr:cxnSp macro="">
      <xdr:nvCxnSpPr>
        <xdr:cNvPr id="51" name="Straight Arrow Connector 50">
          <a:extLst>
            <a:ext uri="{FF2B5EF4-FFF2-40B4-BE49-F238E27FC236}">
              <a16:creationId xmlns:a16="http://schemas.microsoft.com/office/drawing/2014/main" id="{00000000-0008-0000-0200-000033000000}"/>
            </a:ext>
          </a:extLst>
        </xdr:cNvPr>
        <xdr:cNvCxnSpPr/>
      </xdr:nvCxnSpPr>
      <xdr:spPr>
        <a:xfrm flipH="1">
          <a:off x="1825627" y="5595938"/>
          <a:ext cx="3690936" cy="158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603250</xdr:colOff>
      <xdr:row>24</xdr:row>
      <xdr:rowOff>103187</xdr:rowOff>
    </xdr:from>
    <xdr:to>
      <xdr:col>8</xdr:col>
      <xdr:colOff>611187</xdr:colOff>
      <xdr:row>24</xdr:row>
      <xdr:rowOff>103188</xdr:rowOff>
    </xdr:to>
    <xdr:cxnSp macro="">
      <xdr:nvCxnSpPr>
        <xdr:cNvPr id="52" name="Straight Arrow Connector 51">
          <a:extLst>
            <a:ext uri="{FF2B5EF4-FFF2-40B4-BE49-F238E27FC236}">
              <a16:creationId xmlns:a16="http://schemas.microsoft.com/office/drawing/2014/main" id="{00000000-0008-0000-0200-000034000000}"/>
            </a:ext>
          </a:extLst>
        </xdr:cNvPr>
        <xdr:cNvCxnSpPr/>
      </xdr:nvCxnSpPr>
      <xdr:spPr>
        <a:xfrm flipH="1">
          <a:off x="1214438" y="5318125"/>
          <a:ext cx="4286249"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29</xdr:row>
      <xdr:rowOff>79375</xdr:rowOff>
    </xdr:from>
    <xdr:to>
      <xdr:col>11</xdr:col>
      <xdr:colOff>615950</xdr:colOff>
      <xdr:row>29</xdr:row>
      <xdr:rowOff>79375</xdr:rowOff>
    </xdr:to>
    <xdr:cxnSp macro="">
      <xdr:nvCxnSpPr>
        <xdr:cNvPr id="53" name="Straight Arrow Connector 52">
          <a:extLst>
            <a:ext uri="{FF2B5EF4-FFF2-40B4-BE49-F238E27FC236}">
              <a16:creationId xmlns:a16="http://schemas.microsoft.com/office/drawing/2014/main" id="{00000000-0008-0000-0200-000035000000}"/>
            </a:ext>
          </a:extLst>
        </xdr:cNvPr>
        <xdr:cNvCxnSpPr/>
      </xdr:nvCxnSpPr>
      <xdr:spPr>
        <a:xfrm>
          <a:off x="6199188" y="6286500"/>
          <a:ext cx="122713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682624</xdr:colOff>
      <xdr:row>28</xdr:row>
      <xdr:rowOff>95249</xdr:rowOff>
    </xdr:from>
    <xdr:to>
      <xdr:col>12</xdr:col>
      <xdr:colOff>603249</xdr:colOff>
      <xdr:row>28</xdr:row>
      <xdr:rowOff>103187</xdr:rowOff>
    </xdr:to>
    <xdr:cxnSp macro="">
      <xdr:nvCxnSpPr>
        <xdr:cNvPr id="54" name="Straight Arrow Connector 53">
          <a:extLst>
            <a:ext uri="{FF2B5EF4-FFF2-40B4-BE49-F238E27FC236}">
              <a16:creationId xmlns:a16="http://schemas.microsoft.com/office/drawing/2014/main" id="{00000000-0008-0000-0200-000036000000}"/>
            </a:ext>
          </a:extLst>
        </xdr:cNvPr>
        <xdr:cNvCxnSpPr/>
      </xdr:nvCxnSpPr>
      <xdr:spPr>
        <a:xfrm flipV="1">
          <a:off x="6199187" y="6183312"/>
          <a:ext cx="1833562" cy="793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27</xdr:row>
      <xdr:rowOff>111124</xdr:rowOff>
    </xdr:from>
    <xdr:to>
      <xdr:col>14</xdr:col>
      <xdr:colOff>22225</xdr:colOff>
      <xdr:row>27</xdr:row>
      <xdr:rowOff>119062</xdr:rowOff>
    </xdr:to>
    <xdr:cxnSp macro="">
      <xdr:nvCxnSpPr>
        <xdr:cNvPr id="55" name="Straight Arrow Connector 54">
          <a:extLst>
            <a:ext uri="{FF2B5EF4-FFF2-40B4-BE49-F238E27FC236}">
              <a16:creationId xmlns:a16="http://schemas.microsoft.com/office/drawing/2014/main" id="{00000000-0008-0000-0200-000037000000}"/>
            </a:ext>
          </a:extLst>
        </xdr:cNvPr>
        <xdr:cNvCxnSpPr/>
      </xdr:nvCxnSpPr>
      <xdr:spPr>
        <a:xfrm flipV="1">
          <a:off x="6199188" y="6000749"/>
          <a:ext cx="2474912" cy="793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7937</xdr:colOff>
      <xdr:row>26</xdr:row>
      <xdr:rowOff>79375</xdr:rowOff>
    </xdr:from>
    <xdr:to>
      <xdr:col>15</xdr:col>
      <xdr:colOff>15874</xdr:colOff>
      <xdr:row>26</xdr:row>
      <xdr:rowOff>87312</xdr:rowOff>
    </xdr:to>
    <xdr:cxnSp macro="">
      <xdr:nvCxnSpPr>
        <xdr:cNvPr id="56" name="Straight Arrow Connector 55">
          <a:extLst>
            <a:ext uri="{FF2B5EF4-FFF2-40B4-BE49-F238E27FC236}">
              <a16:creationId xmlns:a16="http://schemas.microsoft.com/office/drawing/2014/main" id="{00000000-0008-0000-0200-000038000000}"/>
            </a:ext>
          </a:extLst>
        </xdr:cNvPr>
        <xdr:cNvCxnSpPr/>
      </xdr:nvCxnSpPr>
      <xdr:spPr>
        <a:xfrm flipV="1">
          <a:off x="6207125" y="5691188"/>
          <a:ext cx="3071812" cy="79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7939</xdr:colOff>
      <xdr:row>25</xdr:row>
      <xdr:rowOff>79376</xdr:rowOff>
    </xdr:from>
    <xdr:to>
      <xdr:col>16</xdr:col>
      <xdr:colOff>2</xdr:colOff>
      <xdr:row>25</xdr:row>
      <xdr:rowOff>95251</xdr:rowOff>
    </xdr:to>
    <xdr:cxnSp macro="">
      <xdr:nvCxnSpPr>
        <xdr:cNvPr id="57" name="Straight Arrow Connector 56">
          <a:extLst>
            <a:ext uri="{FF2B5EF4-FFF2-40B4-BE49-F238E27FC236}">
              <a16:creationId xmlns:a16="http://schemas.microsoft.com/office/drawing/2014/main" id="{00000000-0008-0000-0200-000039000000}"/>
            </a:ext>
          </a:extLst>
        </xdr:cNvPr>
        <xdr:cNvCxnSpPr/>
      </xdr:nvCxnSpPr>
      <xdr:spPr>
        <a:xfrm flipV="1">
          <a:off x="6207127" y="5572126"/>
          <a:ext cx="3667125" cy="158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23811</xdr:colOff>
      <xdr:row>24</xdr:row>
      <xdr:rowOff>79376</xdr:rowOff>
    </xdr:from>
    <xdr:to>
      <xdr:col>16</xdr:col>
      <xdr:colOff>611186</xdr:colOff>
      <xdr:row>24</xdr:row>
      <xdr:rowOff>95249</xdr:rowOff>
    </xdr:to>
    <xdr:cxnSp macro="">
      <xdr:nvCxnSpPr>
        <xdr:cNvPr id="58" name="Straight Arrow Connector 57">
          <a:extLst>
            <a:ext uri="{FF2B5EF4-FFF2-40B4-BE49-F238E27FC236}">
              <a16:creationId xmlns:a16="http://schemas.microsoft.com/office/drawing/2014/main" id="{00000000-0008-0000-0200-00003A000000}"/>
            </a:ext>
          </a:extLst>
        </xdr:cNvPr>
        <xdr:cNvCxnSpPr/>
      </xdr:nvCxnSpPr>
      <xdr:spPr>
        <a:xfrm flipV="1">
          <a:off x="6222999" y="5381626"/>
          <a:ext cx="4262437" cy="1587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301625</xdr:colOff>
      <xdr:row>32</xdr:row>
      <xdr:rowOff>182564</xdr:rowOff>
    </xdr:from>
    <xdr:to>
      <xdr:col>17</xdr:col>
      <xdr:colOff>301628</xdr:colOff>
      <xdr:row>39</xdr:row>
      <xdr:rowOff>182564</xdr:rowOff>
    </xdr:to>
    <xdr:cxnSp macro="">
      <xdr:nvCxnSpPr>
        <xdr:cNvPr id="59" name="Straight Arrow Connector 58">
          <a:extLst>
            <a:ext uri="{FF2B5EF4-FFF2-40B4-BE49-F238E27FC236}">
              <a16:creationId xmlns:a16="http://schemas.microsoft.com/office/drawing/2014/main" id="{00000000-0008-0000-0200-00003B000000}"/>
            </a:ext>
          </a:extLst>
        </xdr:cNvPr>
        <xdr:cNvCxnSpPr/>
      </xdr:nvCxnSpPr>
      <xdr:spPr>
        <a:xfrm flipH="1">
          <a:off x="10787063" y="7119939"/>
          <a:ext cx="3" cy="1397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309563</xdr:colOff>
      <xdr:row>33</xdr:row>
      <xdr:rowOff>15875</xdr:rowOff>
    </xdr:from>
    <xdr:to>
      <xdr:col>16</xdr:col>
      <xdr:colOff>317500</xdr:colOff>
      <xdr:row>38</xdr:row>
      <xdr:rowOff>182562</xdr:rowOff>
    </xdr:to>
    <xdr:cxnSp macro="">
      <xdr:nvCxnSpPr>
        <xdr:cNvPr id="60" name="Straight Arrow Connector 59">
          <a:extLst>
            <a:ext uri="{FF2B5EF4-FFF2-40B4-BE49-F238E27FC236}">
              <a16:creationId xmlns:a16="http://schemas.microsoft.com/office/drawing/2014/main" id="{00000000-0008-0000-0200-00003C000000}"/>
            </a:ext>
          </a:extLst>
        </xdr:cNvPr>
        <xdr:cNvCxnSpPr/>
      </xdr:nvCxnSpPr>
      <xdr:spPr>
        <a:xfrm flipH="1">
          <a:off x="10183813" y="6961188"/>
          <a:ext cx="7937" cy="11429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309562</xdr:colOff>
      <xdr:row>33</xdr:row>
      <xdr:rowOff>23812</xdr:rowOff>
    </xdr:from>
    <xdr:to>
      <xdr:col>15</xdr:col>
      <xdr:colOff>317501</xdr:colOff>
      <xdr:row>37</xdr:row>
      <xdr:rowOff>174624</xdr:rowOff>
    </xdr:to>
    <xdr:cxnSp macro="">
      <xdr:nvCxnSpPr>
        <xdr:cNvPr id="61" name="Straight Arrow Connector 60">
          <a:extLst>
            <a:ext uri="{FF2B5EF4-FFF2-40B4-BE49-F238E27FC236}">
              <a16:creationId xmlns:a16="http://schemas.microsoft.com/office/drawing/2014/main" id="{00000000-0008-0000-0200-00003D000000}"/>
            </a:ext>
          </a:extLst>
        </xdr:cNvPr>
        <xdr:cNvCxnSpPr/>
      </xdr:nvCxnSpPr>
      <xdr:spPr>
        <a:xfrm>
          <a:off x="9572625" y="6969125"/>
          <a:ext cx="7939" cy="9366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309564</xdr:colOff>
      <xdr:row>33</xdr:row>
      <xdr:rowOff>23812</xdr:rowOff>
    </xdr:from>
    <xdr:to>
      <xdr:col>14</xdr:col>
      <xdr:colOff>317500</xdr:colOff>
      <xdr:row>36</xdr:row>
      <xdr:rowOff>190499</xdr:rowOff>
    </xdr:to>
    <xdr:cxnSp macro="">
      <xdr:nvCxnSpPr>
        <xdr:cNvPr id="62" name="Straight Arrow Connector 61">
          <a:extLst>
            <a:ext uri="{FF2B5EF4-FFF2-40B4-BE49-F238E27FC236}">
              <a16:creationId xmlns:a16="http://schemas.microsoft.com/office/drawing/2014/main" id="{00000000-0008-0000-0200-00003E000000}"/>
            </a:ext>
          </a:extLst>
        </xdr:cNvPr>
        <xdr:cNvCxnSpPr/>
      </xdr:nvCxnSpPr>
      <xdr:spPr>
        <a:xfrm flipH="1">
          <a:off x="8961439" y="6969125"/>
          <a:ext cx="7936" cy="7619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309562</xdr:colOff>
      <xdr:row>33</xdr:row>
      <xdr:rowOff>63500</xdr:rowOff>
    </xdr:from>
    <xdr:to>
      <xdr:col>13</xdr:col>
      <xdr:colOff>317500</xdr:colOff>
      <xdr:row>35</xdr:row>
      <xdr:rowOff>190500</xdr:rowOff>
    </xdr:to>
    <xdr:cxnSp macro="">
      <xdr:nvCxnSpPr>
        <xdr:cNvPr id="63" name="Straight Arrow Connector 62">
          <a:extLst>
            <a:ext uri="{FF2B5EF4-FFF2-40B4-BE49-F238E27FC236}">
              <a16:creationId xmlns:a16="http://schemas.microsoft.com/office/drawing/2014/main" id="{00000000-0008-0000-0200-00003F000000}"/>
            </a:ext>
          </a:extLst>
        </xdr:cNvPr>
        <xdr:cNvCxnSpPr/>
      </xdr:nvCxnSpPr>
      <xdr:spPr>
        <a:xfrm>
          <a:off x="8350250" y="7008813"/>
          <a:ext cx="7938" cy="5238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309562</xdr:colOff>
      <xdr:row>29</xdr:row>
      <xdr:rowOff>15875</xdr:rowOff>
    </xdr:from>
    <xdr:to>
      <xdr:col>13</xdr:col>
      <xdr:colOff>309563</xdr:colOff>
      <xdr:row>31</xdr:row>
      <xdr:rowOff>150812</xdr:rowOff>
    </xdr:to>
    <xdr:cxnSp macro="">
      <xdr:nvCxnSpPr>
        <xdr:cNvPr id="64" name="Straight Arrow Connector 63">
          <a:extLst>
            <a:ext uri="{FF2B5EF4-FFF2-40B4-BE49-F238E27FC236}">
              <a16:creationId xmlns:a16="http://schemas.microsoft.com/office/drawing/2014/main" id="{00000000-0008-0000-0200-000040000000}"/>
            </a:ext>
          </a:extLst>
        </xdr:cNvPr>
        <xdr:cNvCxnSpPr/>
      </xdr:nvCxnSpPr>
      <xdr:spPr>
        <a:xfrm flipV="1">
          <a:off x="8350250" y="6183313"/>
          <a:ext cx="1" cy="53181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293689</xdr:colOff>
      <xdr:row>28</xdr:row>
      <xdr:rowOff>1</xdr:rowOff>
    </xdr:from>
    <xdr:to>
      <xdr:col>14</xdr:col>
      <xdr:colOff>301625</xdr:colOff>
      <xdr:row>31</xdr:row>
      <xdr:rowOff>142875</xdr:rowOff>
    </xdr:to>
    <xdr:cxnSp macro="">
      <xdr:nvCxnSpPr>
        <xdr:cNvPr id="66" name="Straight Arrow Connector 65">
          <a:extLst>
            <a:ext uri="{FF2B5EF4-FFF2-40B4-BE49-F238E27FC236}">
              <a16:creationId xmlns:a16="http://schemas.microsoft.com/office/drawing/2014/main" id="{00000000-0008-0000-0200-000042000000}"/>
            </a:ext>
          </a:extLst>
        </xdr:cNvPr>
        <xdr:cNvCxnSpPr/>
      </xdr:nvCxnSpPr>
      <xdr:spPr>
        <a:xfrm flipH="1" flipV="1">
          <a:off x="8945564" y="5969001"/>
          <a:ext cx="7936" cy="7381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325437</xdr:colOff>
      <xdr:row>27</xdr:row>
      <xdr:rowOff>2</xdr:rowOff>
    </xdr:from>
    <xdr:to>
      <xdr:col>15</xdr:col>
      <xdr:colOff>325438</xdr:colOff>
      <xdr:row>32</xdr:row>
      <xdr:rowOff>0</xdr:rowOff>
    </xdr:to>
    <xdr:cxnSp macro="">
      <xdr:nvCxnSpPr>
        <xdr:cNvPr id="68" name="Straight Arrow Connector 67">
          <a:extLst>
            <a:ext uri="{FF2B5EF4-FFF2-40B4-BE49-F238E27FC236}">
              <a16:creationId xmlns:a16="http://schemas.microsoft.com/office/drawing/2014/main" id="{00000000-0008-0000-0200-000044000000}"/>
            </a:ext>
          </a:extLst>
        </xdr:cNvPr>
        <xdr:cNvCxnSpPr/>
      </xdr:nvCxnSpPr>
      <xdr:spPr>
        <a:xfrm flipV="1">
          <a:off x="9588500" y="5778502"/>
          <a:ext cx="1" cy="9763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325438</xdr:colOff>
      <xdr:row>25</xdr:row>
      <xdr:rowOff>188912</xdr:rowOff>
    </xdr:from>
    <xdr:to>
      <xdr:col>16</xdr:col>
      <xdr:colOff>325439</xdr:colOff>
      <xdr:row>31</xdr:row>
      <xdr:rowOff>166687</xdr:rowOff>
    </xdr:to>
    <xdr:cxnSp macro="">
      <xdr:nvCxnSpPr>
        <xdr:cNvPr id="70" name="Straight Arrow Connector 69">
          <a:extLst>
            <a:ext uri="{FF2B5EF4-FFF2-40B4-BE49-F238E27FC236}">
              <a16:creationId xmlns:a16="http://schemas.microsoft.com/office/drawing/2014/main" id="{00000000-0008-0000-0200-000046000000}"/>
            </a:ext>
          </a:extLst>
        </xdr:cNvPr>
        <xdr:cNvCxnSpPr/>
      </xdr:nvCxnSpPr>
      <xdr:spPr>
        <a:xfrm flipV="1">
          <a:off x="10199688" y="5586412"/>
          <a:ext cx="1" cy="11445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285750</xdr:colOff>
      <xdr:row>25</xdr:row>
      <xdr:rowOff>7937</xdr:rowOff>
    </xdr:from>
    <xdr:to>
      <xdr:col>17</xdr:col>
      <xdr:colOff>293687</xdr:colOff>
      <xdr:row>31</xdr:row>
      <xdr:rowOff>182562</xdr:rowOff>
    </xdr:to>
    <xdr:cxnSp macro="">
      <xdr:nvCxnSpPr>
        <xdr:cNvPr id="72" name="Straight Arrow Connector 71">
          <a:extLst>
            <a:ext uri="{FF2B5EF4-FFF2-40B4-BE49-F238E27FC236}">
              <a16:creationId xmlns:a16="http://schemas.microsoft.com/office/drawing/2014/main" id="{00000000-0008-0000-0200-000048000000}"/>
            </a:ext>
          </a:extLst>
        </xdr:cNvPr>
        <xdr:cNvCxnSpPr/>
      </xdr:nvCxnSpPr>
      <xdr:spPr>
        <a:xfrm flipH="1" flipV="1">
          <a:off x="10771188" y="5500687"/>
          <a:ext cx="7937" cy="14128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301625</xdr:colOff>
      <xdr:row>24</xdr:row>
      <xdr:rowOff>182563</xdr:rowOff>
    </xdr:from>
    <xdr:to>
      <xdr:col>1</xdr:col>
      <xdr:colOff>309562</xdr:colOff>
      <xdr:row>31</xdr:row>
      <xdr:rowOff>174625</xdr:rowOff>
    </xdr:to>
    <xdr:cxnSp macro="">
      <xdr:nvCxnSpPr>
        <xdr:cNvPr id="74" name="Straight Arrow Connector 73">
          <a:extLst>
            <a:ext uri="{FF2B5EF4-FFF2-40B4-BE49-F238E27FC236}">
              <a16:creationId xmlns:a16="http://schemas.microsoft.com/office/drawing/2014/main" id="{00000000-0008-0000-0200-00004A000000}"/>
            </a:ext>
          </a:extLst>
        </xdr:cNvPr>
        <xdr:cNvCxnSpPr/>
      </xdr:nvCxnSpPr>
      <xdr:spPr>
        <a:xfrm flipH="1" flipV="1">
          <a:off x="912813" y="5468938"/>
          <a:ext cx="7937" cy="14366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269875</xdr:colOff>
      <xdr:row>26</xdr:row>
      <xdr:rowOff>7937</xdr:rowOff>
    </xdr:from>
    <xdr:to>
      <xdr:col>2</xdr:col>
      <xdr:colOff>277813</xdr:colOff>
      <xdr:row>31</xdr:row>
      <xdr:rowOff>182563</xdr:rowOff>
    </xdr:to>
    <xdr:cxnSp macro="">
      <xdr:nvCxnSpPr>
        <xdr:cNvPr id="75" name="Straight Arrow Connector 74">
          <a:extLst>
            <a:ext uri="{FF2B5EF4-FFF2-40B4-BE49-F238E27FC236}">
              <a16:creationId xmlns:a16="http://schemas.microsoft.com/office/drawing/2014/main" id="{00000000-0008-0000-0200-00004B000000}"/>
            </a:ext>
          </a:extLst>
        </xdr:cNvPr>
        <xdr:cNvCxnSpPr/>
      </xdr:nvCxnSpPr>
      <xdr:spPr>
        <a:xfrm flipH="1" flipV="1">
          <a:off x="1492250" y="5397500"/>
          <a:ext cx="7938" cy="116681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325437</xdr:colOff>
      <xdr:row>27</xdr:row>
      <xdr:rowOff>15875</xdr:rowOff>
    </xdr:from>
    <xdr:to>
      <xdr:col>3</xdr:col>
      <xdr:colOff>333376</xdr:colOff>
      <xdr:row>32</xdr:row>
      <xdr:rowOff>23812</xdr:rowOff>
    </xdr:to>
    <xdr:cxnSp macro="">
      <xdr:nvCxnSpPr>
        <xdr:cNvPr id="76" name="Straight Arrow Connector 75">
          <a:extLst>
            <a:ext uri="{FF2B5EF4-FFF2-40B4-BE49-F238E27FC236}">
              <a16:creationId xmlns:a16="http://schemas.microsoft.com/office/drawing/2014/main" id="{00000000-0008-0000-0200-00004C000000}"/>
            </a:ext>
          </a:extLst>
        </xdr:cNvPr>
        <xdr:cNvCxnSpPr/>
      </xdr:nvCxnSpPr>
      <xdr:spPr>
        <a:xfrm flipV="1">
          <a:off x="2159000" y="5603875"/>
          <a:ext cx="7939" cy="10001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277812</xdr:colOff>
      <xdr:row>28</xdr:row>
      <xdr:rowOff>182563</xdr:rowOff>
    </xdr:from>
    <xdr:to>
      <xdr:col>5</xdr:col>
      <xdr:colOff>285750</xdr:colOff>
      <xdr:row>32</xdr:row>
      <xdr:rowOff>0</xdr:rowOff>
    </xdr:to>
    <xdr:cxnSp macro="">
      <xdr:nvCxnSpPr>
        <xdr:cNvPr id="77" name="Straight Arrow Connector 76">
          <a:extLst>
            <a:ext uri="{FF2B5EF4-FFF2-40B4-BE49-F238E27FC236}">
              <a16:creationId xmlns:a16="http://schemas.microsoft.com/office/drawing/2014/main" id="{00000000-0008-0000-0200-00004D000000}"/>
            </a:ext>
          </a:extLst>
        </xdr:cNvPr>
        <xdr:cNvCxnSpPr/>
      </xdr:nvCxnSpPr>
      <xdr:spPr>
        <a:xfrm flipH="1" flipV="1">
          <a:off x="3333750" y="5969001"/>
          <a:ext cx="7938" cy="6111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301625</xdr:colOff>
      <xdr:row>27</xdr:row>
      <xdr:rowOff>174626</xdr:rowOff>
    </xdr:from>
    <xdr:to>
      <xdr:col>4</xdr:col>
      <xdr:colOff>301626</xdr:colOff>
      <xdr:row>31</xdr:row>
      <xdr:rowOff>190500</xdr:rowOff>
    </xdr:to>
    <xdr:cxnSp macro="">
      <xdr:nvCxnSpPr>
        <xdr:cNvPr id="78" name="Straight Arrow Connector 77">
          <a:extLst>
            <a:ext uri="{FF2B5EF4-FFF2-40B4-BE49-F238E27FC236}">
              <a16:creationId xmlns:a16="http://schemas.microsoft.com/office/drawing/2014/main" id="{00000000-0008-0000-0200-00004E000000}"/>
            </a:ext>
          </a:extLst>
        </xdr:cNvPr>
        <xdr:cNvCxnSpPr/>
      </xdr:nvCxnSpPr>
      <xdr:spPr>
        <a:xfrm flipV="1">
          <a:off x="2746375" y="5762626"/>
          <a:ext cx="1" cy="8096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587375</xdr:colOff>
      <xdr:row>30</xdr:row>
      <xdr:rowOff>95249</xdr:rowOff>
    </xdr:from>
    <xdr:to>
      <xdr:col>9</xdr:col>
      <xdr:colOff>7937</xdr:colOff>
      <xdr:row>30</xdr:row>
      <xdr:rowOff>103187</xdr:rowOff>
    </xdr:to>
    <xdr:cxnSp macro="">
      <xdr:nvCxnSpPr>
        <xdr:cNvPr id="73" name="Straight Arrow Connector 72">
          <a:extLst>
            <a:ext uri="{FF2B5EF4-FFF2-40B4-BE49-F238E27FC236}">
              <a16:creationId xmlns:a16="http://schemas.microsoft.com/office/drawing/2014/main" id="{00000000-0008-0000-0200-000049000000}"/>
            </a:ext>
          </a:extLst>
        </xdr:cNvPr>
        <xdr:cNvCxnSpPr/>
      </xdr:nvCxnSpPr>
      <xdr:spPr>
        <a:xfrm flipH="1">
          <a:off x="4865688" y="6500812"/>
          <a:ext cx="658812" cy="793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30</xdr:row>
      <xdr:rowOff>87312</xdr:rowOff>
    </xdr:from>
    <xdr:to>
      <xdr:col>10</xdr:col>
      <xdr:colOff>603250</xdr:colOff>
      <xdr:row>30</xdr:row>
      <xdr:rowOff>87313</xdr:rowOff>
    </xdr:to>
    <xdr:cxnSp macro="">
      <xdr:nvCxnSpPr>
        <xdr:cNvPr id="80" name="Straight Arrow Connector 79">
          <a:extLst>
            <a:ext uri="{FF2B5EF4-FFF2-40B4-BE49-F238E27FC236}">
              <a16:creationId xmlns:a16="http://schemas.microsoft.com/office/drawing/2014/main" id="{00000000-0008-0000-0200-000050000000}"/>
            </a:ext>
          </a:extLst>
        </xdr:cNvPr>
        <xdr:cNvCxnSpPr/>
      </xdr:nvCxnSpPr>
      <xdr:spPr>
        <a:xfrm>
          <a:off x="6199188" y="6492875"/>
          <a:ext cx="6032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277813</xdr:colOff>
      <xdr:row>30</xdr:row>
      <xdr:rowOff>182562</xdr:rowOff>
    </xdr:from>
    <xdr:to>
      <xdr:col>11</xdr:col>
      <xdr:colOff>285750</xdr:colOff>
      <xdr:row>31</xdr:row>
      <xdr:rowOff>158751</xdr:rowOff>
    </xdr:to>
    <xdr:cxnSp macro="">
      <xdr:nvCxnSpPr>
        <xdr:cNvPr id="84" name="Straight Arrow Connector 83">
          <a:extLst>
            <a:ext uri="{FF2B5EF4-FFF2-40B4-BE49-F238E27FC236}">
              <a16:creationId xmlns:a16="http://schemas.microsoft.com/office/drawing/2014/main" id="{00000000-0008-0000-0200-000054000000}"/>
            </a:ext>
          </a:extLst>
        </xdr:cNvPr>
        <xdr:cNvCxnSpPr/>
      </xdr:nvCxnSpPr>
      <xdr:spPr>
        <a:xfrm flipV="1">
          <a:off x="7088188" y="6588125"/>
          <a:ext cx="7937" cy="1746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317500</xdr:colOff>
      <xdr:row>33</xdr:row>
      <xdr:rowOff>0</xdr:rowOff>
    </xdr:from>
    <xdr:to>
      <xdr:col>7</xdr:col>
      <xdr:colOff>317501</xdr:colOff>
      <xdr:row>33</xdr:row>
      <xdr:rowOff>166687</xdr:rowOff>
    </xdr:to>
    <xdr:cxnSp macro="">
      <xdr:nvCxnSpPr>
        <xdr:cNvPr id="85" name="Straight Arrow Connector 84">
          <a:extLst>
            <a:ext uri="{FF2B5EF4-FFF2-40B4-BE49-F238E27FC236}">
              <a16:creationId xmlns:a16="http://schemas.microsoft.com/office/drawing/2014/main" id="{00000000-0008-0000-0200-000055000000}"/>
            </a:ext>
          </a:extLst>
        </xdr:cNvPr>
        <xdr:cNvCxnSpPr/>
      </xdr:nvCxnSpPr>
      <xdr:spPr>
        <a:xfrm flipH="1">
          <a:off x="4595813" y="7000875"/>
          <a:ext cx="1" cy="1666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595312</xdr:colOff>
      <xdr:row>34</xdr:row>
      <xdr:rowOff>111125</xdr:rowOff>
    </xdr:from>
    <xdr:to>
      <xdr:col>8</xdr:col>
      <xdr:colOff>611187</xdr:colOff>
      <xdr:row>34</xdr:row>
      <xdr:rowOff>111125</xdr:rowOff>
    </xdr:to>
    <xdr:cxnSp macro="">
      <xdr:nvCxnSpPr>
        <xdr:cNvPr id="86" name="Straight Arrow Connector 85">
          <a:extLst>
            <a:ext uri="{FF2B5EF4-FFF2-40B4-BE49-F238E27FC236}">
              <a16:creationId xmlns:a16="http://schemas.microsoft.com/office/drawing/2014/main" id="{00000000-0008-0000-0200-000056000000}"/>
            </a:ext>
          </a:extLst>
        </xdr:cNvPr>
        <xdr:cNvCxnSpPr/>
      </xdr:nvCxnSpPr>
      <xdr:spPr>
        <a:xfrm flipH="1">
          <a:off x="4873625" y="7381875"/>
          <a:ext cx="627062"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7938</xdr:colOff>
      <xdr:row>34</xdr:row>
      <xdr:rowOff>79375</xdr:rowOff>
    </xdr:from>
    <xdr:to>
      <xdr:col>11</xdr:col>
      <xdr:colOff>1</xdr:colOff>
      <xdr:row>34</xdr:row>
      <xdr:rowOff>79375</xdr:rowOff>
    </xdr:to>
    <xdr:cxnSp macro="">
      <xdr:nvCxnSpPr>
        <xdr:cNvPr id="87" name="Straight Arrow Connector 86">
          <a:extLst>
            <a:ext uri="{FF2B5EF4-FFF2-40B4-BE49-F238E27FC236}">
              <a16:creationId xmlns:a16="http://schemas.microsoft.com/office/drawing/2014/main" id="{00000000-0008-0000-0200-000057000000}"/>
            </a:ext>
          </a:extLst>
        </xdr:cNvPr>
        <xdr:cNvCxnSpPr/>
      </xdr:nvCxnSpPr>
      <xdr:spPr>
        <a:xfrm>
          <a:off x="6207126" y="7278688"/>
          <a:ext cx="60325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293687</xdr:colOff>
      <xdr:row>33</xdr:row>
      <xdr:rowOff>7937</xdr:rowOff>
    </xdr:from>
    <xdr:to>
      <xdr:col>11</xdr:col>
      <xdr:colOff>293688</xdr:colOff>
      <xdr:row>33</xdr:row>
      <xdr:rowOff>174624</xdr:rowOff>
    </xdr:to>
    <xdr:cxnSp macro="">
      <xdr:nvCxnSpPr>
        <xdr:cNvPr id="88" name="Straight Arrow Connector 87">
          <a:extLst>
            <a:ext uri="{FF2B5EF4-FFF2-40B4-BE49-F238E27FC236}">
              <a16:creationId xmlns:a16="http://schemas.microsoft.com/office/drawing/2014/main" id="{00000000-0008-0000-0200-000058000000}"/>
            </a:ext>
          </a:extLst>
        </xdr:cNvPr>
        <xdr:cNvCxnSpPr/>
      </xdr:nvCxnSpPr>
      <xdr:spPr>
        <a:xfrm flipH="1">
          <a:off x="7104062" y="7008812"/>
          <a:ext cx="1" cy="1666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309562</xdr:colOff>
      <xdr:row>31</xdr:row>
      <xdr:rowOff>15875</xdr:rowOff>
    </xdr:from>
    <xdr:to>
      <xdr:col>7</xdr:col>
      <xdr:colOff>317499</xdr:colOff>
      <xdr:row>31</xdr:row>
      <xdr:rowOff>198439</xdr:rowOff>
    </xdr:to>
    <xdr:cxnSp macro="">
      <xdr:nvCxnSpPr>
        <xdr:cNvPr id="114" name="Straight Arrow Connector 113">
          <a:extLst>
            <a:ext uri="{FF2B5EF4-FFF2-40B4-BE49-F238E27FC236}">
              <a16:creationId xmlns:a16="http://schemas.microsoft.com/office/drawing/2014/main" id="{00000000-0008-0000-0200-000072000000}"/>
            </a:ext>
          </a:extLst>
        </xdr:cNvPr>
        <xdr:cNvCxnSpPr/>
      </xdr:nvCxnSpPr>
      <xdr:spPr>
        <a:xfrm flipV="1">
          <a:off x="4587875" y="6746875"/>
          <a:ext cx="7937" cy="1825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731694</xdr:colOff>
      <xdr:row>11</xdr:row>
      <xdr:rowOff>112568</xdr:rowOff>
    </xdr:from>
    <xdr:to>
      <xdr:col>4</xdr:col>
      <xdr:colOff>173182</xdr:colOff>
      <xdr:row>13</xdr:row>
      <xdr:rowOff>181841</xdr:rowOff>
    </xdr:to>
    <xdr:cxnSp macro="">
      <xdr:nvCxnSpPr>
        <xdr:cNvPr id="2" name="Straight Arrow Connector 1">
          <a:extLst>
            <a:ext uri="{FF2B5EF4-FFF2-40B4-BE49-F238E27FC236}">
              <a16:creationId xmlns:a16="http://schemas.microsoft.com/office/drawing/2014/main" id="{00000000-0008-0000-0300-000002000000}"/>
            </a:ext>
          </a:extLst>
        </xdr:cNvPr>
        <xdr:cNvCxnSpPr>
          <a:stCxn id="53" idx="0"/>
          <a:endCxn id="59" idx="1"/>
        </xdr:cNvCxnSpPr>
      </xdr:nvCxnSpPr>
      <xdr:spPr>
        <a:xfrm flipV="1">
          <a:off x="2065194" y="1939636"/>
          <a:ext cx="749011" cy="536864"/>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9</xdr:row>
      <xdr:rowOff>0</xdr:rowOff>
    </xdr:from>
    <xdr:to>
      <xdr:col>6</xdr:col>
      <xdr:colOff>25978</xdr:colOff>
      <xdr:row>10</xdr:row>
      <xdr:rowOff>173181</xdr:rowOff>
    </xdr:to>
    <xdr:cxnSp macro="">
      <xdr:nvCxnSpPr>
        <xdr:cNvPr id="3" name="Straight Arrow Connector 2">
          <a:extLst>
            <a:ext uri="{FF2B5EF4-FFF2-40B4-BE49-F238E27FC236}">
              <a16:creationId xmlns:a16="http://schemas.microsoft.com/office/drawing/2014/main" id="{00000000-0008-0000-0300-000003000000}"/>
            </a:ext>
          </a:extLst>
        </xdr:cNvPr>
        <xdr:cNvCxnSpPr/>
      </xdr:nvCxnSpPr>
      <xdr:spPr>
        <a:xfrm flipV="1">
          <a:off x="3247159" y="1472045"/>
          <a:ext cx="632114" cy="372341"/>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242454</xdr:colOff>
      <xdr:row>11</xdr:row>
      <xdr:rowOff>103909</xdr:rowOff>
    </xdr:from>
    <xdr:to>
      <xdr:col>9</xdr:col>
      <xdr:colOff>4330</xdr:colOff>
      <xdr:row>14</xdr:row>
      <xdr:rowOff>8659</xdr:rowOff>
    </xdr:to>
    <xdr:cxnSp macro="">
      <xdr:nvCxnSpPr>
        <xdr:cNvPr id="4" name="Straight Arrow Connector 3">
          <a:extLst>
            <a:ext uri="{FF2B5EF4-FFF2-40B4-BE49-F238E27FC236}">
              <a16:creationId xmlns:a16="http://schemas.microsoft.com/office/drawing/2014/main" id="{00000000-0008-0000-0300-000004000000}"/>
            </a:ext>
          </a:extLst>
        </xdr:cNvPr>
        <xdr:cNvCxnSpPr>
          <a:stCxn id="55" idx="0"/>
          <a:endCxn id="61" idx="3"/>
        </xdr:cNvCxnSpPr>
      </xdr:nvCxnSpPr>
      <xdr:spPr>
        <a:xfrm flipH="1" flipV="1">
          <a:off x="4701886" y="1930977"/>
          <a:ext cx="974149" cy="5715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12989</xdr:colOff>
      <xdr:row>9</xdr:row>
      <xdr:rowOff>8659</xdr:rowOff>
    </xdr:from>
    <xdr:to>
      <xdr:col>7</xdr:col>
      <xdr:colOff>8659</xdr:colOff>
      <xdr:row>10</xdr:row>
      <xdr:rowOff>181842</xdr:rowOff>
    </xdr:to>
    <xdr:cxnSp macro="">
      <xdr:nvCxnSpPr>
        <xdr:cNvPr id="5" name="Straight Arrow Connector 4">
          <a:extLst>
            <a:ext uri="{FF2B5EF4-FFF2-40B4-BE49-F238E27FC236}">
              <a16:creationId xmlns:a16="http://schemas.microsoft.com/office/drawing/2014/main" id="{00000000-0008-0000-0300-000005000000}"/>
            </a:ext>
          </a:extLst>
        </xdr:cNvPr>
        <xdr:cNvCxnSpPr>
          <a:endCxn id="60" idx="2"/>
        </xdr:cNvCxnSpPr>
      </xdr:nvCxnSpPr>
      <xdr:spPr>
        <a:xfrm flipH="1" flipV="1">
          <a:off x="3866284" y="1437409"/>
          <a:ext cx="601807" cy="372342"/>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261938</xdr:colOff>
      <xdr:row>66</xdr:row>
      <xdr:rowOff>59532</xdr:rowOff>
    </xdr:from>
    <xdr:to>
      <xdr:col>13</xdr:col>
      <xdr:colOff>346364</xdr:colOff>
      <xdr:row>82</xdr:row>
      <xdr:rowOff>86591</xdr:rowOff>
    </xdr:to>
    <xdr:sp macro="" textlink="">
      <xdr:nvSpPr>
        <xdr:cNvPr id="6" name="Diamond 5">
          <a:extLst>
            <a:ext uri="{FF2B5EF4-FFF2-40B4-BE49-F238E27FC236}">
              <a16:creationId xmlns:a16="http://schemas.microsoft.com/office/drawing/2014/main" id="{00000000-0008-0000-0300-000006000000}"/>
            </a:ext>
          </a:extLst>
        </xdr:cNvPr>
        <xdr:cNvSpPr/>
      </xdr:nvSpPr>
      <xdr:spPr>
        <a:xfrm>
          <a:off x="4721370" y="15212941"/>
          <a:ext cx="3920403" cy="3603264"/>
        </a:xfrm>
        <a:prstGeom prst="diamond">
          <a:avLst/>
        </a:prstGeom>
        <a:noFill/>
        <a:ln w="28575" cmpd="sng">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190500</xdr:colOff>
      <xdr:row>74</xdr:row>
      <xdr:rowOff>103909</xdr:rowOff>
    </xdr:from>
    <xdr:to>
      <xdr:col>10</xdr:col>
      <xdr:colOff>355023</xdr:colOff>
      <xdr:row>91</xdr:row>
      <xdr:rowOff>86591</xdr:rowOff>
    </xdr:to>
    <xdr:sp macro="" textlink="">
      <xdr:nvSpPr>
        <xdr:cNvPr id="7" name="Diamond 6">
          <a:extLst>
            <a:ext uri="{FF2B5EF4-FFF2-40B4-BE49-F238E27FC236}">
              <a16:creationId xmlns:a16="http://schemas.microsoft.com/office/drawing/2014/main" id="{00000000-0008-0000-0300-000007000000}"/>
            </a:ext>
          </a:extLst>
        </xdr:cNvPr>
        <xdr:cNvSpPr/>
      </xdr:nvSpPr>
      <xdr:spPr>
        <a:xfrm>
          <a:off x="2831523" y="17075727"/>
          <a:ext cx="3853295" cy="3498273"/>
        </a:xfrm>
        <a:prstGeom prst="diamond">
          <a:avLst/>
        </a:prstGeom>
        <a:noFill/>
        <a:ln w="28575" cmpd="sng">
          <a:solidFill>
            <a:schemeClr val="tx1"/>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235031</xdr:colOff>
      <xdr:row>66</xdr:row>
      <xdr:rowOff>88446</xdr:rowOff>
    </xdr:from>
    <xdr:to>
      <xdr:col>7</xdr:col>
      <xdr:colOff>312964</xdr:colOff>
      <xdr:row>82</xdr:row>
      <xdr:rowOff>102054</xdr:rowOff>
    </xdr:to>
    <xdr:sp macro="" textlink="">
      <xdr:nvSpPr>
        <xdr:cNvPr id="8" name="Diamond 7">
          <a:extLst>
            <a:ext uri="{FF2B5EF4-FFF2-40B4-BE49-F238E27FC236}">
              <a16:creationId xmlns:a16="http://schemas.microsoft.com/office/drawing/2014/main" id="{00000000-0008-0000-0300-000008000000}"/>
            </a:ext>
          </a:extLst>
        </xdr:cNvPr>
        <xdr:cNvSpPr/>
      </xdr:nvSpPr>
      <xdr:spPr>
        <a:xfrm>
          <a:off x="847352" y="14539232"/>
          <a:ext cx="3860719" cy="3401786"/>
        </a:xfrm>
        <a:prstGeom prst="diamond">
          <a:avLst/>
        </a:prstGeom>
        <a:noFill/>
        <a:ln w="28575" cmpd="sng">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517922</xdr:colOff>
      <xdr:row>65</xdr:row>
      <xdr:rowOff>178594</xdr:rowOff>
    </xdr:from>
    <xdr:to>
      <xdr:col>8</xdr:col>
      <xdr:colOff>129776</xdr:colOff>
      <xdr:row>69</xdr:row>
      <xdr:rowOff>162661</xdr:rowOff>
    </xdr:to>
    <xdr:pic>
      <xdr:nvPicPr>
        <xdr:cNvPr id="9" name="Picture 8" descr="https://ci5.googleusercontent.com/proxy/a06YytF6TVttLzrYPtoG6ElWBmK5XnH76wS7wIMU0DSbUmgA2ZJ51mz9jW0Hrd-huzQFsEvt80-2Dp-pEQ=s0-d-e1-ft#http://alvasar.ru/d/1157544/d/logo1.png">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61235" y="4881563"/>
          <a:ext cx="826293" cy="916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398318</xdr:colOff>
      <xdr:row>3</xdr:row>
      <xdr:rowOff>14239</xdr:rowOff>
    </xdr:from>
    <xdr:to>
      <xdr:col>6</xdr:col>
      <xdr:colOff>403624</xdr:colOff>
      <xdr:row>6</xdr:row>
      <xdr:rowOff>14846</xdr:rowOff>
    </xdr:to>
    <xdr:pic>
      <xdr:nvPicPr>
        <xdr:cNvPr id="10" name="Picture 9" descr="https://ci5.googleusercontent.com/proxy/a06YytF6TVttLzrYPtoG6ElWBmK5XnH76wS7wIMU0DSbUmgA2ZJ51mz9jW0Hrd-huzQFsEvt80-2Dp-pEQ=s0-d-e1-ft#http://alvasar.ru/d/1157544/d/logo1.png">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5477" y="204739"/>
          <a:ext cx="611442" cy="684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199614</xdr:colOff>
      <xdr:row>37</xdr:row>
      <xdr:rowOff>7746</xdr:rowOff>
    </xdr:from>
    <xdr:to>
      <xdr:col>20</xdr:col>
      <xdr:colOff>571493</xdr:colOff>
      <xdr:row>38</xdr:row>
      <xdr:rowOff>188220</xdr:rowOff>
    </xdr:to>
    <xdr:pic>
      <xdr:nvPicPr>
        <xdr:cNvPr id="11" name="Picture 10" descr="https://ci5.googleusercontent.com/proxy/a06YytF6TVttLzrYPtoG6ElWBmK5XnH76wS7wIMU0DSbUmgA2ZJ51mz9jW0Hrd-huzQFsEvt80-2Dp-pEQ=s0-d-e1-ft#http://alvasar.ru/d/1157544/d/logo1.png">
          <a:extLst>
            <a:ext uri="{FF2B5EF4-FFF2-40B4-BE49-F238E27FC236}">
              <a16:creationId xmlns:a16="http://schemas.microsoft.com/office/drawing/2014/main" id="{00000000-0008-0000-03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586319" y="7012951"/>
          <a:ext cx="371879" cy="4056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11936</xdr:colOff>
      <xdr:row>92</xdr:row>
      <xdr:rowOff>173923</xdr:rowOff>
    </xdr:from>
    <xdr:to>
      <xdr:col>17</xdr:col>
      <xdr:colOff>164523</xdr:colOff>
      <xdr:row>121</xdr:row>
      <xdr:rowOff>140586</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367393</xdr:colOff>
      <xdr:row>93</xdr:row>
      <xdr:rowOff>47625</xdr:rowOff>
    </xdr:from>
    <xdr:to>
      <xdr:col>32</xdr:col>
      <xdr:colOff>543667</xdr:colOff>
      <xdr:row>121</xdr:row>
      <xdr:rowOff>144174</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643507</xdr:colOff>
      <xdr:row>34</xdr:row>
      <xdr:rowOff>230150</xdr:rowOff>
    </xdr:from>
    <xdr:to>
      <xdr:col>19</xdr:col>
      <xdr:colOff>259773</xdr:colOff>
      <xdr:row>37</xdr:row>
      <xdr:rowOff>8659</xdr:rowOff>
    </xdr:to>
    <xdr:cxnSp macro="">
      <xdr:nvCxnSpPr>
        <xdr:cNvPr id="15" name="Straight Arrow Connector 14">
          <a:extLst>
            <a:ext uri="{FF2B5EF4-FFF2-40B4-BE49-F238E27FC236}">
              <a16:creationId xmlns:a16="http://schemas.microsoft.com/office/drawing/2014/main" id="{00000000-0008-0000-0300-00000F000000}"/>
            </a:ext>
          </a:extLst>
        </xdr:cNvPr>
        <xdr:cNvCxnSpPr/>
      </xdr:nvCxnSpPr>
      <xdr:spPr>
        <a:xfrm>
          <a:off x="10107893" y="6507991"/>
          <a:ext cx="932448" cy="50587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632114</xdr:colOff>
      <xdr:row>39</xdr:row>
      <xdr:rowOff>17318</xdr:rowOff>
    </xdr:from>
    <xdr:to>
      <xdr:col>19</xdr:col>
      <xdr:colOff>251114</xdr:colOff>
      <xdr:row>40</xdr:row>
      <xdr:rowOff>225137</xdr:rowOff>
    </xdr:to>
    <xdr:cxnSp macro="">
      <xdr:nvCxnSpPr>
        <xdr:cNvPr id="17" name="Straight Arrow Connector 16">
          <a:extLst>
            <a:ext uri="{FF2B5EF4-FFF2-40B4-BE49-F238E27FC236}">
              <a16:creationId xmlns:a16="http://schemas.microsoft.com/office/drawing/2014/main" id="{00000000-0008-0000-0300-000011000000}"/>
            </a:ext>
          </a:extLst>
        </xdr:cNvPr>
        <xdr:cNvCxnSpPr/>
      </xdr:nvCxnSpPr>
      <xdr:spPr>
        <a:xfrm flipV="1">
          <a:off x="10096500" y="7420841"/>
          <a:ext cx="935182" cy="450273"/>
        </a:xfrm>
        <a:prstGeom prst="straightConnector1">
          <a:avLst/>
        </a:prstGeom>
        <a:ln>
          <a:tailEnd type="triangle"/>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18</xdr:col>
      <xdr:colOff>351832</xdr:colOff>
      <xdr:row>40</xdr:row>
      <xdr:rowOff>0</xdr:rowOff>
    </xdr:from>
    <xdr:to>
      <xdr:col>20</xdr:col>
      <xdr:colOff>25977</xdr:colOff>
      <xdr:row>42</xdr:row>
      <xdr:rowOff>8663</xdr:rowOff>
    </xdr:to>
    <xdr:cxnSp macro="">
      <xdr:nvCxnSpPr>
        <xdr:cNvPr id="19" name="Straight Arrow Connector 18">
          <a:extLst>
            <a:ext uri="{FF2B5EF4-FFF2-40B4-BE49-F238E27FC236}">
              <a16:creationId xmlns:a16="http://schemas.microsoft.com/office/drawing/2014/main" id="{00000000-0008-0000-0300-000013000000}"/>
            </a:ext>
          </a:extLst>
        </xdr:cNvPr>
        <xdr:cNvCxnSpPr/>
      </xdr:nvCxnSpPr>
      <xdr:spPr>
        <a:xfrm flipV="1">
          <a:off x="10465650" y="7645977"/>
          <a:ext cx="947032" cy="49357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723719</xdr:colOff>
      <xdr:row>39</xdr:row>
      <xdr:rowOff>235619</xdr:rowOff>
    </xdr:from>
    <xdr:to>
      <xdr:col>22</xdr:col>
      <xdr:colOff>372341</xdr:colOff>
      <xdr:row>41</xdr:row>
      <xdr:rowOff>233795</xdr:rowOff>
    </xdr:to>
    <xdr:cxnSp macro="">
      <xdr:nvCxnSpPr>
        <xdr:cNvPr id="21" name="Straight Arrow Connector 20">
          <a:extLst>
            <a:ext uri="{FF2B5EF4-FFF2-40B4-BE49-F238E27FC236}">
              <a16:creationId xmlns:a16="http://schemas.microsoft.com/office/drawing/2014/main" id="{00000000-0008-0000-0300-000015000000}"/>
            </a:ext>
          </a:extLst>
        </xdr:cNvPr>
        <xdr:cNvCxnSpPr/>
      </xdr:nvCxnSpPr>
      <xdr:spPr>
        <a:xfrm flipH="1" flipV="1">
          <a:off x="12110424" y="7639142"/>
          <a:ext cx="990781" cy="4830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646241</xdr:colOff>
      <xdr:row>32</xdr:row>
      <xdr:rowOff>221947</xdr:rowOff>
    </xdr:from>
    <xdr:to>
      <xdr:col>20</xdr:col>
      <xdr:colOff>17318</xdr:colOff>
      <xdr:row>35</xdr:row>
      <xdr:rowOff>225137</xdr:rowOff>
    </xdr:to>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a:off x="10760059" y="6014879"/>
          <a:ext cx="643964" cy="73055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718704</xdr:colOff>
      <xdr:row>33</xdr:row>
      <xdr:rowOff>8659</xdr:rowOff>
    </xdr:from>
    <xdr:to>
      <xdr:col>22</xdr:col>
      <xdr:colOff>1</xdr:colOff>
      <xdr:row>35</xdr:row>
      <xdr:rowOff>225137</xdr:rowOff>
    </xdr:to>
    <xdr:cxnSp macro="">
      <xdr:nvCxnSpPr>
        <xdr:cNvPr id="25" name="Straight Arrow Connector 24">
          <a:extLst>
            <a:ext uri="{FF2B5EF4-FFF2-40B4-BE49-F238E27FC236}">
              <a16:creationId xmlns:a16="http://schemas.microsoft.com/office/drawing/2014/main" id="{00000000-0008-0000-0300-000019000000}"/>
            </a:ext>
          </a:extLst>
        </xdr:cNvPr>
        <xdr:cNvCxnSpPr/>
      </xdr:nvCxnSpPr>
      <xdr:spPr>
        <a:xfrm flipH="1">
          <a:off x="12105409" y="6044045"/>
          <a:ext cx="623456" cy="7013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310542</xdr:colOff>
      <xdr:row>38</xdr:row>
      <xdr:rowOff>190502</xdr:rowOff>
    </xdr:from>
    <xdr:to>
      <xdr:col>23</xdr:col>
      <xdr:colOff>0</xdr:colOff>
      <xdr:row>41</xdr:row>
      <xdr:rowOff>0</xdr:rowOff>
    </xdr:to>
    <xdr:cxnSp macro="">
      <xdr:nvCxnSpPr>
        <xdr:cNvPr id="27" name="Straight Arrow Connector 26">
          <a:extLst>
            <a:ext uri="{FF2B5EF4-FFF2-40B4-BE49-F238E27FC236}">
              <a16:creationId xmlns:a16="http://schemas.microsoft.com/office/drawing/2014/main" id="{00000000-0008-0000-0300-00001B000000}"/>
            </a:ext>
          </a:extLst>
        </xdr:cNvPr>
        <xdr:cNvCxnSpPr/>
      </xdr:nvCxnSpPr>
      <xdr:spPr>
        <a:xfrm flipH="1" flipV="1">
          <a:off x="12433269" y="7394866"/>
          <a:ext cx="962345" cy="49356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329046</xdr:colOff>
      <xdr:row>35</xdr:row>
      <xdr:rowOff>17319</xdr:rowOff>
    </xdr:from>
    <xdr:to>
      <xdr:col>22</xdr:col>
      <xdr:colOff>649432</xdr:colOff>
      <xdr:row>36</xdr:row>
      <xdr:rowOff>225136</xdr:rowOff>
    </xdr:to>
    <xdr:cxnSp macro="">
      <xdr:nvCxnSpPr>
        <xdr:cNvPr id="29" name="Straight Arrow Connector 28">
          <a:extLst>
            <a:ext uri="{FF2B5EF4-FFF2-40B4-BE49-F238E27FC236}">
              <a16:creationId xmlns:a16="http://schemas.microsoft.com/office/drawing/2014/main" id="{00000000-0008-0000-0300-00001D000000}"/>
            </a:ext>
          </a:extLst>
        </xdr:cNvPr>
        <xdr:cNvCxnSpPr/>
      </xdr:nvCxnSpPr>
      <xdr:spPr>
        <a:xfrm flipH="1">
          <a:off x="12451773" y="6537614"/>
          <a:ext cx="926523" cy="45027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122</xdr:row>
      <xdr:rowOff>120608</xdr:rowOff>
    </xdr:from>
    <xdr:to>
      <xdr:col>17</xdr:col>
      <xdr:colOff>46387</xdr:colOff>
      <xdr:row>151</xdr:row>
      <xdr:rowOff>87271</xdr:rowOff>
    </xdr:to>
    <xdr:graphicFrame macro="">
      <xdr:nvGraphicFramePr>
        <xdr:cNvPr id="22" name="Chart 21">
          <a:extLst>
            <a:ext uri="{FF2B5EF4-FFF2-40B4-BE49-F238E27FC236}">
              <a16:creationId xmlns:a16="http://schemas.microsoft.com/office/drawing/2014/main" id="{00000000-0008-0000-03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170</xdr:row>
      <xdr:rowOff>47007</xdr:rowOff>
    </xdr:from>
    <xdr:to>
      <xdr:col>17</xdr:col>
      <xdr:colOff>46387</xdr:colOff>
      <xdr:row>199</xdr:row>
      <xdr:rowOff>13670</xdr:rowOff>
    </xdr:to>
    <xdr:graphicFrame macro="">
      <xdr:nvGraphicFramePr>
        <xdr:cNvPr id="24" name="Chart 23">
          <a:extLst>
            <a:ext uri="{FF2B5EF4-FFF2-40B4-BE49-F238E27FC236}">
              <a16:creationId xmlns:a16="http://schemas.microsoft.com/office/drawing/2014/main" id="{00000000-0008-0000-03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42367</xdr:colOff>
      <xdr:row>210</xdr:row>
      <xdr:rowOff>187408</xdr:rowOff>
    </xdr:from>
    <xdr:to>
      <xdr:col>24</xdr:col>
      <xdr:colOff>461405</xdr:colOff>
      <xdr:row>237</xdr:row>
      <xdr:rowOff>132979</xdr:rowOff>
    </xdr:to>
    <xdr:graphicFrame macro="">
      <xdr:nvGraphicFramePr>
        <xdr:cNvPr id="16" name="Chart 15">
          <a:extLst>
            <a:ext uri="{FF2B5EF4-FFF2-40B4-BE49-F238E27FC236}">
              <a16:creationId xmlns:a16="http://schemas.microsoft.com/office/drawing/2014/main" id="{00000000-0008-0000-03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731694</xdr:colOff>
      <xdr:row>16</xdr:row>
      <xdr:rowOff>0</xdr:rowOff>
    </xdr:from>
    <xdr:to>
      <xdr:col>4</xdr:col>
      <xdr:colOff>225136</xdr:colOff>
      <xdr:row>18</xdr:row>
      <xdr:rowOff>138545</xdr:rowOff>
    </xdr:to>
    <xdr:cxnSp macro="">
      <xdr:nvCxnSpPr>
        <xdr:cNvPr id="39" name="Straight Arrow Connector 38">
          <a:extLst>
            <a:ext uri="{FF2B5EF4-FFF2-40B4-BE49-F238E27FC236}">
              <a16:creationId xmlns:a16="http://schemas.microsoft.com/office/drawing/2014/main" id="{00000000-0008-0000-0300-000027000000}"/>
            </a:ext>
          </a:extLst>
        </xdr:cNvPr>
        <xdr:cNvCxnSpPr>
          <a:stCxn id="52" idx="2"/>
          <a:endCxn id="57" idx="1"/>
        </xdr:cNvCxnSpPr>
      </xdr:nvCxnSpPr>
      <xdr:spPr>
        <a:xfrm>
          <a:off x="2065194" y="2961409"/>
          <a:ext cx="800965" cy="53686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523875</xdr:colOff>
      <xdr:row>19</xdr:row>
      <xdr:rowOff>17317</xdr:rowOff>
    </xdr:from>
    <xdr:to>
      <xdr:col>6</xdr:col>
      <xdr:colOff>8660</xdr:colOff>
      <xdr:row>20</xdr:row>
      <xdr:rowOff>181841</xdr:rowOff>
    </xdr:to>
    <xdr:cxnSp macro="">
      <xdr:nvCxnSpPr>
        <xdr:cNvPr id="40" name="Straight Arrow Connector 39">
          <a:extLst>
            <a:ext uri="{FF2B5EF4-FFF2-40B4-BE49-F238E27FC236}">
              <a16:creationId xmlns:a16="http://schemas.microsoft.com/office/drawing/2014/main" id="{00000000-0008-0000-0300-000028000000}"/>
            </a:ext>
          </a:extLst>
        </xdr:cNvPr>
        <xdr:cNvCxnSpPr>
          <a:stCxn id="57" idx="2"/>
        </xdr:cNvCxnSpPr>
      </xdr:nvCxnSpPr>
      <xdr:spPr>
        <a:xfrm>
          <a:off x="3164898" y="3619499"/>
          <a:ext cx="697057" cy="36368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432955</xdr:colOff>
      <xdr:row>15</xdr:row>
      <xdr:rowOff>0</xdr:rowOff>
    </xdr:from>
    <xdr:to>
      <xdr:col>3</xdr:col>
      <xdr:colOff>294409</xdr:colOff>
      <xdr:row>16</xdr:row>
      <xdr:rowOff>0</xdr:rowOff>
    </xdr:to>
    <xdr:sp macro="" textlink="">
      <xdr:nvSpPr>
        <xdr:cNvPr id="52" name="Rectangle: Rounded Corners 51">
          <a:extLst>
            <a:ext uri="{FF2B5EF4-FFF2-40B4-BE49-F238E27FC236}">
              <a16:creationId xmlns:a16="http://schemas.microsoft.com/office/drawing/2014/main" id="{00000000-0008-0000-0300-000034000000}"/>
            </a:ext>
          </a:extLst>
        </xdr:cNvPr>
        <xdr:cNvSpPr/>
      </xdr:nvSpPr>
      <xdr:spPr>
        <a:xfrm>
          <a:off x="1766455" y="2718955"/>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432955</xdr:colOff>
      <xdr:row>13</xdr:row>
      <xdr:rowOff>181841</xdr:rowOff>
    </xdr:from>
    <xdr:to>
      <xdr:col>3</xdr:col>
      <xdr:colOff>294409</xdr:colOff>
      <xdr:row>14</xdr:row>
      <xdr:rowOff>225136</xdr:rowOff>
    </xdr:to>
    <xdr:sp macro="" textlink="">
      <xdr:nvSpPr>
        <xdr:cNvPr id="53" name="Rectangle: Rounded Corners 52">
          <a:extLst>
            <a:ext uri="{FF2B5EF4-FFF2-40B4-BE49-F238E27FC236}">
              <a16:creationId xmlns:a16="http://schemas.microsoft.com/office/drawing/2014/main" id="{00000000-0008-0000-0300-000035000000}"/>
            </a:ext>
          </a:extLst>
        </xdr:cNvPr>
        <xdr:cNvSpPr/>
      </xdr:nvSpPr>
      <xdr:spPr>
        <a:xfrm>
          <a:off x="1766455" y="2476500"/>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311728</xdr:colOff>
      <xdr:row>15</xdr:row>
      <xdr:rowOff>17318</xdr:rowOff>
    </xdr:from>
    <xdr:to>
      <xdr:col>9</xdr:col>
      <xdr:colOff>303068</xdr:colOff>
      <xdr:row>16</xdr:row>
      <xdr:rowOff>17318</xdr:rowOff>
    </xdr:to>
    <xdr:sp macro="" textlink="">
      <xdr:nvSpPr>
        <xdr:cNvPr id="54" name="Rectangle: Rounded Corners 53">
          <a:extLst>
            <a:ext uri="{FF2B5EF4-FFF2-40B4-BE49-F238E27FC236}">
              <a16:creationId xmlns:a16="http://schemas.microsoft.com/office/drawing/2014/main" id="{00000000-0008-0000-0300-000036000000}"/>
            </a:ext>
          </a:extLst>
        </xdr:cNvPr>
        <xdr:cNvSpPr/>
      </xdr:nvSpPr>
      <xdr:spPr>
        <a:xfrm>
          <a:off x="5377296" y="2736273"/>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311728</xdr:colOff>
      <xdr:row>14</xdr:row>
      <xdr:rowOff>8659</xdr:rowOff>
    </xdr:from>
    <xdr:to>
      <xdr:col>9</xdr:col>
      <xdr:colOff>303068</xdr:colOff>
      <xdr:row>15</xdr:row>
      <xdr:rowOff>25976</xdr:rowOff>
    </xdr:to>
    <xdr:sp macro="" textlink="">
      <xdr:nvSpPr>
        <xdr:cNvPr id="55" name="Rectangle: Rounded Corners 54">
          <a:extLst>
            <a:ext uri="{FF2B5EF4-FFF2-40B4-BE49-F238E27FC236}">
              <a16:creationId xmlns:a16="http://schemas.microsoft.com/office/drawing/2014/main" id="{00000000-0008-0000-0300-000037000000}"/>
            </a:ext>
          </a:extLst>
        </xdr:cNvPr>
        <xdr:cNvSpPr/>
      </xdr:nvSpPr>
      <xdr:spPr>
        <a:xfrm>
          <a:off x="5377296" y="2502477"/>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251114</xdr:colOff>
      <xdr:row>18</xdr:row>
      <xdr:rowOff>8659</xdr:rowOff>
    </xdr:from>
    <xdr:to>
      <xdr:col>7</xdr:col>
      <xdr:colOff>242454</xdr:colOff>
      <xdr:row>19</xdr:row>
      <xdr:rowOff>8658</xdr:rowOff>
    </xdr:to>
    <xdr:sp macro="" textlink="">
      <xdr:nvSpPr>
        <xdr:cNvPr id="56" name="Rectangle: Rounded Corners 55">
          <a:extLst>
            <a:ext uri="{FF2B5EF4-FFF2-40B4-BE49-F238E27FC236}">
              <a16:creationId xmlns:a16="http://schemas.microsoft.com/office/drawing/2014/main" id="{00000000-0008-0000-0300-000038000000}"/>
            </a:ext>
          </a:extLst>
        </xdr:cNvPr>
        <xdr:cNvSpPr/>
      </xdr:nvSpPr>
      <xdr:spPr>
        <a:xfrm>
          <a:off x="4104409" y="3368386"/>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225136</xdr:colOff>
      <xdr:row>18</xdr:row>
      <xdr:rowOff>17318</xdr:rowOff>
    </xdr:from>
    <xdr:to>
      <xdr:col>5</xdr:col>
      <xdr:colOff>216477</xdr:colOff>
      <xdr:row>19</xdr:row>
      <xdr:rowOff>17317</xdr:rowOff>
    </xdr:to>
    <xdr:sp macro="" textlink="">
      <xdr:nvSpPr>
        <xdr:cNvPr id="57" name="Rectangle: Rounded Corners 56">
          <a:extLst>
            <a:ext uri="{FF2B5EF4-FFF2-40B4-BE49-F238E27FC236}">
              <a16:creationId xmlns:a16="http://schemas.microsoft.com/office/drawing/2014/main" id="{00000000-0008-0000-0300-000039000000}"/>
            </a:ext>
          </a:extLst>
        </xdr:cNvPr>
        <xdr:cNvSpPr/>
      </xdr:nvSpPr>
      <xdr:spPr>
        <a:xfrm>
          <a:off x="2866159" y="3377045"/>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285750</xdr:colOff>
      <xdr:row>20</xdr:row>
      <xdr:rowOff>181841</xdr:rowOff>
    </xdr:from>
    <xdr:to>
      <xdr:col>6</xdr:col>
      <xdr:colOff>277091</xdr:colOff>
      <xdr:row>22</xdr:row>
      <xdr:rowOff>0</xdr:rowOff>
    </xdr:to>
    <xdr:sp macro="" textlink="">
      <xdr:nvSpPr>
        <xdr:cNvPr id="58" name="Rectangle: Rounded Corners 57">
          <a:extLst>
            <a:ext uri="{FF2B5EF4-FFF2-40B4-BE49-F238E27FC236}">
              <a16:creationId xmlns:a16="http://schemas.microsoft.com/office/drawing/2014/main" id="{00000000-0008-0000-0300-00003A000000}"/>
            </a:ext>
          </a:extLst>
        </xdr:cNvPr>
        <xdr:cNvSpPr/>
      </xdr:nvSpPr>
      <xdr:spPr>
        <a:xfrm>
          <a:off x="3532909" y="3983182"/>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173182</xdr:colOff>
      <xdr:row>10</xdr:row>
      <xdr:rowOff>190500</xdr:rowOff>
    </xdr:from>
    <xdr:to>
      <xdr:col>5</xdr:col>
      <xdr:colOff>164523</xdr:colOff>
      <xdr:row>12</xdr:row>
      <xdr:rowOff>8658</xdr:rowOff>
    </xdr:to>
    <xdr:sp macro="" textlink="">
      <xdr:nvSpPr>
        <xdr:cNvPr id="59" name="Rectangle: Rounded Corners 58">
          <a:extLst>
            <a:ext uri="{FF2B5EF4-FFF2-40B4-BE49-F238E27FC236}">
              <a16:creationId xmlns:a16="http://schemas.microsoft.com/office/drawing/2014/main" id="{00000000-0008-0000-0300-00003B000000}"/>
            </a:ext>
          </a:extLst>
        </xdr:cNvPr>
        <xdr:cNvSpPr/>
      </xdr:nvSpPr>
      <xdr:spPr>
        <a:xfrm>
          <a:off x="2814205" y="1818409"/>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320386</xdr:colOff>
      <xdr:row>8</xdr:row>
      <xdr:rowOff>8660</xdr:rowOff>
    </xdr:from>
    <xdr:to>
      <xdr:col>6</xdr:col>
      <xdr:colOff>311727</xdr:colOff>
      <xdr:row>9</xdr:row>
      <xdr:rowOff>8659</xdr:rowOff>
    </xdr:to>
    <xdr:sp macro="" textlink="">
      <xdr:nvSpPr>
        <xdr:cNvPr id="60" name="Rectangle: Rounded Corners 59">
          <a:extLst>
            <a:ext uri="{FF2B5EF4-FFF2-40B4-BE49-F238E27FC236}">
              <a16:creationId xmlns:a16="http://schemas.microsoft.com/office/drawing/2014/main" id="{00000000-0008-0000-0300-00003C000000}"/>
            </a:ext>
          </a:extLst>
        </xdr:cNvPr>
        <xdr:cNvSpPr/>
      </xdr:nvSpPr>
      <xdr:spPr>
        <a:xfrm>
          <a:off x="3567545" y="1194955"/>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251114</xdr:colOff>
      <xdr:row>10</xdr:row>
      <xdr:rowOff>181841</xdr:rowOff>
    </xdr:from>
    <xdr:to>
      <xdr:col>7</xdr:col>
      <xdr:colOff>242454</xdr:colOff>
      <xdr:row>11</xdr:row>
      <xdr:rowOff>225136</xdr:rowOff>
    </xdr:to>
    <xdr:sp macro="" textlink="">
      <xdr:nvSpPr>
        <xdr:cNvPr id="61" name="Rectangle: Rounded Corners 60">
          <a:extLst>
            <a:ext uri="{FF2B5EF4-FFF2-40B4-BE49-F238E27FC236}">
              <a16:creationId xmlns:a16="http://schemas.microsoft.com/office/drawing/2014/main" id="{00000000-0008-0000-0300-00003D000000}"/>
            </a:ext>
          </a:extLst>
        </xdr:cNvPr>
        <xdr:cNvSpPr/>
      </xdr:nvSpPr>
      <xdr:spPr>
        <a:xfrm>
          <a:off x="4104409" y="1809750"/>
          <a:ext cx="597477" cy="242454"/>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242454</xdr:colOff>
      <xdr:row>16</xdr:row>
      <xdr:rowOff>17318</xdr:rowOff>
    </xdr:from>
    <xdr:to>
      <xdr:col>9</xdr:col>
      <xdr:colOff>4330</xdr:colOff>
      <xdr:row>18</xdr:row>
      <xdr:rowOff>129886</xdr:rowOff>
    </xdr:to>
    <xdr:cxnSp macro="">
      <xdr:nvCxnSpPr>
        <xdr:cNvPr id="72" name="Straight Arrow Connector 71">
          <a:extLst>
            <a:ext uri="{FF2B5EF4-FFF2-40B4-BE49-F238E27FC236}">
              <a16:creationId xmlns:a16="http://schemas.microsoft.com/office/drawing/2014/main" id="{00000000-0008-0000-0300-000048000000}"/>
            </a:ext>
          </a:extLst>
        </xdr:cNvPr>
        <xdr:cNvCxnSpPr>
          <a:stCxn id="54" idx="2"/>
          <a:endCxn id="56" idx="3"/>
        </xdr:cNvCxnSpPr>
      </xdr:nvCxnSpPr>
      <xdr:spPr>
        <a:xfrm flipH="1">
          <a:off x="4701886" y="2978727"/>
          <a:ext cx="974149" cy="51088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584489</xdr:colOff>
      <xdr:row>19</xdr:row>
      <xdr:rowOff>8658</xdr:rowOff>
    </xdr:from>
    <xdr:to>
      <xdr:col>6</xdr:col>
      <xdr:colOff>549853</xdr:colOff>
      <xdr:row>20</xdr:row>
      <xdr:rowOff>181841</xdr:rowOff>
    </xdr:to>
    <xdr:cxnSp macro="">
      <xdr:nvCxnSpPr>
        <xdr:cNvPr id="76" name="Straight Arrow Connector 75">
          <a:extLst>
            <a:ext uri="{FF2B5EF4-FFF2-40B4-BE49-F238E27FC236}">
              <a16:creationId xmlns:a16="http://schemas.microsoft.com/office/drawing/2014/main" id="{00000000-0008-0000-0300-00004C000000}"/>
            </a:ext>
          </a:extLst>
        </xdr:cNvPr>
        <xdr:cNvCxnSpPr>
          <a:stCxn id="56" idx="2"/>
          <a:endCxn id="58" idx="0"/>
        </xdr:cNvCxnSpPr>
      </xdr:nvCxnSpPr>
      <xdr:spPr>
        <a:xfrm flipH="1">
          <a:off x="3831648" y="3610840"/>
          <a:ext cx="571500" cy="37234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242455</xdr:colOff>
      <xdr:row>22</xdr:row>
      <xdr:rowOff>0</xdr:rowOff>
    </xdr:from>
    <xdr:to>
      <xdr:col>6</xdr:col>
      <xdr:colOff>320387</xdr:colOff>
      <xdr:row>23</xdr:row>
      <xdr:rowOff>17318</xdr:rowOff>
    </xdr:to>
    <xdr:sp macro="" textlink="">
      <xdr:nvSpPr>
        <xdr:cNvPr id="79" name="Rectangle: Rounded Corners 78">
          <a:extLst>
            <a:ext uri="{FF2B5EF4-FFF2-40B4-BE49-F238E27FC236}">
              <a16:creationId xmlns:a16="http://schemas.microsoft.com/office/drawing/2014/main" id="{00000000-0008-0000-0300-00004F000000}"/>
            </a:ext>
          </a:extLst>
        </xdr:cNvPr>
        <xdr:cNvSpPr/>
      </xdr:nvSpPr>
      <xdr:spPr>
        <a:xfrm>
          <a:off x="3489614" y="4225636"/>
          <a:ext cx="684068" cy="320387"/>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311727</xdr:colOff>
      <xdr:row>15</xdr:row>
      <xdr:rowOff>25977</xdr:rowOff>
    </xdr:from>
    <xdr:to>
      <xdr:col>8</xdr:col>
      <xdr:colOff>329046</xdr:colOff>
      <xdr:row>15</xdr:row>
      <xdr:rowOff>25977</xdr:rowOff>
    </xdr:to>
    <xdr:cxnSp macro="">
      <xdr:nvCxnSpPr>
        <xdr:cNvPr id="81" name="Straight Connector 80">
          <a:extLst>
            <a:ext uri="{FF2B5EF4-FFF2-40B4-BE49-F238E27FC236}">
              <a16:creationId xmlns:a16="http://schemas.microsoft.com/office/drawing/2014/main" id="{00000000-0008-0000-0300-000051000000}"/>
            </a:ext>
          </a:extLst>
        </xdr:cNvPr>
        <xdr:cNvCxnSpPr/>
      </xdr:nvCxnSpPr>
      <xdr:spPr>
        <a:xfrm>
          <a:off x="2381250" y="2744932"/>
          <a:ext cx="3013364"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458932</xdr:colOff>
      <xdr:row>10</xdr:row>
      <xdr:rowOff>129886</xdr:rowOff>
    </xdr:from>
    <xdr:to>
      <xdr:col>6</xdr:col>
      <xdr:colOff>138546</xdr:colOff>
      <xdr:row>12</xdr:row>
      <xdr:rowOff>155863</xdr:rowOff>
    </xdr:to>
    <xdr:sp macro="" textlink="">
      <xdr:nvSpPr>
        <xdr:cNvPr id="85" name="Arrow: Up 84">
          <a:extLst>
            <a:ext uri="{FF2B5EF4-FFF2-40B4-BE49-F238E27FC236}">
              <a16:creationId xmlns:a16="http://schemas.microsoft.com/office/drawing/2014/main" id="{00000000-0008-0000-0300-000055000000}"/>
            </a:ext>
          </a:extLst>
        </xdr:cNvPr>
        <xdr:cNvSpPr/>
      </xdr:nvSpPr>
      <xdr:spPr>
        <a:xfrm>
          <a:off x="3706091" y="1757795"/>
          <a:ext cx="285750" cy="450273"/>
        </a:xfrm>
        <a:prstGeom prst="upArrow">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441613</xdr:colOff>
      <xdr:row>17</xdr:row>
      <xdr:rowOff>95250</xdr:rowOff>
    </xdr:from>
    <xdr:to>
      <xdr:col>6</xdr:col>
      <xdr:colOff>121227</xdr:colOff>
      <xdr:row>19</xdr:row>
      <xdr:rowOff>103909</xdr:rowOff>
    </xdr:to>
    <xdr:sp macro="" textlink="">
      <xdr:nvSpPr>
        <xdr:cNvPr id="86" name="Arrow: Up 85">
          <a:extLst>
            <a:ext uri="{FF2B5EF4-FFF2-40B4-BE49-F238E27FC236}">
              <a16:creationId xmlns:a16="http://schemas.microsoft.com/office/drawing/2014/main" id="{00000000-0008-0000-0300-000056000000}"/>
            </a:ext>
          </a:extLst>
        </xdr:cNvPr>
        <xdr:cNvSpPr/>
      </xdr:nvSpPr>
      <xdr:spPr>
        <a:xfrm rot="10800000">
          <a:off x="3688772" y="3255818"/>
          <a:ext cx="285750" cy="450273"/>
        </a:xfrm>
        <a:prstGeom prst="upArrow">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8659</xdr:colOff>
      <xdr:row>11</xdr:row>
      <xdr:rowOff>0</xdr:rowOff>
    </xdr:from>
    <xdr:to>
      <xdr:col>2</xdr:col>
      <xdr:colOff>372340</xdr:colOff>
      <xdr:row>13</xdr:row>
      <xdr:rowOff>0</xdr:rowOff>
    </xdr:to>
    <xdr:sp macro="" textlink="">
      <xdr:nvSpPr>
        <xdr:cNvPr id="87" name="Rectangle: Rounded Corners 86">
          <a:extLst>
            <a:ext uri="{FF2B5EF4-FFF2-40B4-BE49-F238E27FC236}">
              <a16:creationId xmlns:a16="http://schemas.microsoft.com/office/drawing/2014/main" id="{00000000-0008-0000-0300-000057000000}"/>
            </a:ext>
          </a:extLst>
        </xdr:cNvPr>
        <xdr:cNvSpPr/>
      </xdr:nvSpPr>
      <xdr:spPr>
        <a:xfrm>
          <a:off x="614795" y="1827068"/>
          <a:ext cx="1091045" cy="467591"/>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606136</xdr:colOff>
      <xdr:row>11</xdr:row>
      <xdr:rowOff>8659</xdr:rowOff>
    </xdr:from>
    <xdr:to>
      <xdr:col>10</xdr:col>
      <xdr:colOff>432954</xdr:colOff>
      <xdr:row>13</xdr:row>
      <xdr:rowOff>8659</xdr:rowOff>
    </xdr:to>
    <xdr:sp macro="" textlink="">
      <xdr:nvSpPr>
        <xdr:cNvPr id="88" name="Rectangle: Rounded Corners 87">
          <a:extLst>
            <a:ext uri="{FF2B5EF4-FFF2-40B4-BE49-F238E27FC236}">
              <a16:creationId xmlns:a16="http://schemas.microsoft.com/office/drawing/2014/main" id="{00000000-0008-0000-0300-000058000000}"/>
            </a:ext>
          </a:extLst>
        </xdr:cNvPr>
        <xdr:cNvSpPr/>
      </xdr:nvSpPr>
      <xdr:spPr>
        <a:xfrm>
          <a:off x="5671704" y="1835727"/>
          <a:ext cx="1091045" cy="467591"/>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51955</xdr:colOff>
      <xdr:row>14</xdr:row>
      <xdr:rowOff>8659</xdr:rowOff>
    </xdr:from>
    <xdr:to>
      <xdr:col>1</xdr:col>
      <xdr:colOff>649432</xdr:colOff>
      <xdr:row>15</xdr:row>
      <xdr:rowOff>233795</xdr:rowOff>
    </xdr:to>
    <xdr:sp macro="" textlink="">
      <xdr:nvSpPr>
        <xdr:cNvPr id="45" name="Rectangle: Rounded Corners 52">
          <a:extLst>
            <a:ext uri="{FF2B5EF4-FFF2-40B4-BE49-F238E27FC236}">
              <a16:creationId xmlns:a16="http://schemas.microsoft.com/office/drawing/2014/main" id="{00000000-0008-0000-0300-00002D000000}"/>
            </a:ext>
          </a:extLst>
        </xdr:cNvPr>
        <xdr:cNvSpPr/>
      </xdr:nvSpPr>
      <xdr:spPr>
        <a:xfrm>
          <a:off x="658091" y="3151909"/>
          <a:ext cx="597477" cy="467591"/>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86591</xdr:colOff>
      <xdr:row>14</xdr:row>
      <xdr:rowOff>8660</xdr:rowOff>
    </xdr:from>
    <xdr:to>
      <xdr:col>10</xdr:col>
      <xdr:colOff>684068</xdr:colOff>
      <xdr:row>15</xdr:row>
      <xdr:rowOff>225137</xdr:rowOff>
    </xdr:to>
    <xdr:sp macro="" textlink="">
      <xdr:nvSpPr>
        <xdr:cNvPr id="46" name="Rectangle: Rounded Corners 52">
          <a:extLst>
            <a:ext uri="{FF2B5EF4-FFF2-40B4-BE49-F238E27FC236}">
              <a16:creationId xmlns:a16="http://schemas.microsoft.com/office/drawing/2014/main" id="{00000000-0008-0000-0300-00002E000000}"/>
            </a:ext>
          </a:extLst>
        </xdr:cNvPr>
        <xdr:cNvSpPr/>
      </xdr:nvSpPr>
      <xdr:spPr>
        <a:xfrm>
          <a:off x="6416386" y="3151910"/>
          <a:ext cx="597477" cy="458932"/>
        </a:xfrm>
        <a:prstGeom prst="roundRect">
          <a:avLst/>
        </a:prstGeom>
        <a:noFill/>
        <a:ln w="127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0</xdr:colOff>
      <xdr:row>36</xdr:row>
      <xdr:rowOff>8659</xdr:rowOff>
    </xdr:from>
    <xdr:to>
      <xdr:col>13</xdr:col>
      <xdr:colOff>8659</xdr:colOff>
      <xdr:row>36</xdr:row>
      <xdr:rowOff>8659</xdr:rowOff>
    </xdr:to>
    <xdr:cxnSp macro="">
      <xdr:nvCxnSpPr>
        <xdr:cNvPr id="43" name="Straight Arrow Connector 42">
          <a:extLst>
            <a:ext uri="{FF2B5EF4-FFF2-40B4-BE49-F238E27FC236}">
              <a16:creationId xmlns:a16="http://schemas.microsoft.com/office/drawing/2014/main" id="{00000000-0008-0000-0300-00002B000000}"/>
            </a:ext>
          </a:extLst>
        </xdr:cNvPr>
        <xdr:cNvCxnSpPr/>
      </xdr:nvCxnSpPr>
      <xdr:spPr>
        <a:xfrm>
          <a:off x="7689273" y="8009659"/>
          <a:ext cx="61479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571500</xdr:colOff>
      <xdr:row>35</xdr:row>
      <xdr:rowOff>233796</xdr:rowOff>
    </xdr:from>
    <xdr:to>
      <xdr:col>14</xdr:col>
      <xdr:colOff>588819</xdr:colOff>
      <xdr:row>36</xdr:row>
      <xdr:rowOff>0</xdr:rowOff>
    </xdr:to>
    <xdr:cxnSp macro="">
      <xdr:nvCxnSpPr>
        <xdr:cNvPr id="47" name="Straight Arrow Connector 46">
          <a:extLst>
            <a:ext uri="{FF2B5EF4-FFF2-40B4-BE49-F238E27FC236}">
              <a16:creationId xmlns:a16="http://schemas.microsoft.com/office/drawing/2014/main" id="{00000000-0008-0000-0300-00002F000000}"/>
            </a:ext>
          </a:extLst>
        </xdr:cNvPr>
        <xdr:cNvCxnSpPr/>
      </xdr:nvCxnSpPr>
      <xdr:spPr>
        <a:xfrm flipH="1">
          <a:off x="8866909" y="7992341"/>
          <a:ext cx="623455" cy="865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251114</xdr:colOff>
      <xdr:row>33</xdr:row>
      <xdr:rowOff>190500</xdr:rowOff>
    </xdr:from>
    <xdr:to>
      <xdr:col>11</xdr:col>
      <xdr:colOff>597478</xdr:colOff>
      <xdr:row>35</xdr:row>
      <xdr:rowOff>8660</xdr:rowOff>
    </xdr:to>
    <xdr:cxnSp macro="">
      <xdr:nvCxnSpPr>
        <xdr:cNvPr id="49" name="Straight Arrow Connector 48">
          <a:extLst>
            <a:ext uri="{FF2B5EF4-FFF2-40B4-BE49-F238E27FC236}">
              <a16:creationId xmlns:a16="http://schemas.microsoft.com/office/drawing/2014/main" id="{00000000-0008-0000-0300-000031000000}"/>
            </a:ext>
          </a:extLst>
        </xdr:cNvPr>
        <xdr:cNvCxnSpPr/>
      </xdr:nvCxnSpPr>
      <xdr:spPr>
        <a:xfrm flipV="1">
          <a:off x="7334250" y="7507432"/>
          <a:ext cx="346364" cy="25977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294409</xdr:colOff>
      <xdr:row>30</xdr:row>
      <xdr:rowOff>225137</xdr:rowOff>
    </xdr:from>
    <xdr:to>
      <xdr:col>13</xdr:col>
      <xdr:colOff>8659</xdr:colOff>
      <xdr:row>31</xdr:row>
      <xdr:rowOff>225136</xdr:rowOff>
    </xdr:to>
    <xdr:cxnSp macro="">
      <xdr:nvCxnSpPr>
        <xdr:cNvPr id="51" name="Straight Arrow Connector 50">
          <a:extLst>
            <a:ext uri="{FF2B5EF4-FFF2-40B4-BE49-F238E27FC236}">
              <a16:creationId xmlns:a16="http://schemas.microsoft.com/office/drawing/2014/main" id="{00000000-0008-0000-0300-000033000000}"/>
            </a:ext>
          </a:extLst>
        </xdr:cNvPr>
        <xdr:cNvCxnSpPr/>
      </xdr:nvCxnSpPr>
      <xdr:spPr>
        <a:xfrm flipV="1">
          <a:off x="7983682" y="6814705"/>
          <a:ext cx="320386" cy="24245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588819</xdr:colOff>
      <xdr:row>33</xdr:row>
      <xdr:rowOff>181841</xdr:rowOff>
    </xdr:from>
    <xdr:to>
      <xdr:col>15</xdr:col>
      <xdr:colOff>268432</xdr:colOff>
      <xdr:row>35</xdr:row>
      <xdr:rowOff>0</xdr:rowOff>
    </xdr:to>
    <xdr:cxnSp macro="">
      <xdr:nvCxnSpPr>
        <xdr:cNvPr id="63" name="Straight Arrow Connector 62">
          <a:extLst>
            <a:ext uri="{FF2B5EF4-FFF2-40B4-BE49-F238E27FC236}">
              <a16:creationId xmlns:a16="http://schemas.microsoft.com/office/drawing/2014/main" id="{00000000-0008-0000-0300-00003F000000}"/>
            </a:ext>
          </a:extLst>
        </xdr:cNvPr>
        <xdr:cNvCxnSpPr/>
      </xdr:nvCxnSpPr>
      <xdr:spPr>
        <a:xfrm flipH="1" flipV="1">
          <a:off x="9490364" y="7498773"/>
          <a:ext cx="285750" cy="25977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580159</xdr:colOff>
      <xdr:row>30</xdr:row>
      <xdr:rowOff>225137</xdr:rowOff>
    </xdr:from>
    <xdr:to>
      <xdr:col>14</xdr:col>
      <xdr:colOff>225137</xdr:colOff>
      <xdr:row>31</xdr:row>
      <xdr:rowOff>216477</xdr:rowOff>
    </xdr:to>
    <xdr:cxnSp macro="">
      <xdr:nvCxnSpPr>
        <xdr:cNvPr id="65" name="Straight Arrow Connector 64">
          <a:extLst>
            <a:ext uri="{FF2B5EF4-FFF2-40B4-BE49-F238E27FC236}">
              <a16:creationId xmlns:a16="http://schemas.microsoft.com/office/drawing/2014/main" id="{00000000-0008-0000-0300-000041000000}"/>
            </a:ext>
          </a:extLst>
        </xdr:cNvPr>
        <xdr:cNvCxnSpPr/>
      </xdr:nvCxnSpPr>
      <xdr:spPr>
        <a:xfrm flipH="1" flipV="1">
          <a:off x="8875568" y="6814705"/>
          <a:ext cx="251114" cy="23379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303069</xdr:colOff>
      <xdr:row>14</xdr:row>
      <xdr:rowOff>233796</xdr:rowOff>
    </xdr:from>
    <xdr:to>
      <xdr:col>12</xdr:col>
      <xdr:colOff>259773</xdr:colOff>
      <xdr:row>16</xdr:row>
      <xdr:rowOff>233796</xdr:rowOff>
    </xdr:to>
    <xdr:cxnSp macro="">
      <xdr:nvCxnSpPr>
        <xdr:cNvPr id="26" name="Straight Arrow Connector 25">
          <a:extLst>
            <a:ext uri="{FF2B5EF4-FFF2-40B4-BE49-F238E27FC236}">
              <a16:creationId xmlns:a16="http://schemas.microsoft.com/office/drawing/2014/main" id="{00000000-0008-0000-0300-00001A000000}"/>
            </a:ext>
          </a:extLst>
        </xdr:cNvPr>
        <xdr:cNvCxnSpPr/>
      </xdr:nvCxnSpPr>
      <xdr:spPr>
        <a:xfrm flipH="1">
          <a:off x="7386205" y="3394364"/>
          <a:ext cx="562841" cy="48490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259772</xdr:colOff>
      <xdr:row>14</xdr:row>
      <xdr:rowOff>242454</xdr:rowOff>
    </xdr:from>
    <xdr:to>
      <xdr:col>14</xdr:col>
      <xdr:colOff>381000</xdr:colOff>
      <xdr:row>17</xdr:row>
      <xdr:rowOff>0</xdr:rowOff>
    </xdr:to>
    <xdr:cxnSp macro="">
      <xdr:nvCxnSpPr>
        <xdr:cNvPr id="30" name="Straight Arrow Connector 29">
          <a:extLst>
            <a:ext uri="{FF2B5EF4-FFF2-40B4-BE49-F238E27FC236}">
              <a16:creationId xmlns:a16="http://schemas.microsoft.com/office/drawing/2014/main" id="{00000000-0008-0000-0300-00001E000000}"/>
            </a:ext>
          </a:extLst>
        </xdr:cNvPr>
        <xdr:cNvCxnSpPr/>
      </xdr:nvCxnSpPr>
      <xdr:spPr>
        <a:xfrm>
          <a:off x="7949045" y="3403022"/>
          <a:ext cx="1333500" cy="48491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303068</xdr:colOff>
      <xdr:row>15</xdr:row>
      <xdr:rowOff>8660</xdr:rowOff>
    </xdr:from>
    <xdr:to>
      <xdr:col>14</xdr:col>
      <xdr:colOff>303070</xdr:colOff>
      <xdr:row>16</xdr:row>
      <xdr:rowOff>225137</xdr:rowOff>
    </xdr:to>
    <xdr:cxnSp macro="">
      <xdr:nvCxnSpPr>
        <xdr:cNvPr id="32" name="Straight Arrow Connector 31">
          <a:extLst>
            <a:ext uri="{FF2B5EF4-FFF2-40B4-BE49-F238E27FC236}">
              <a16:creationId xmlns:a16="http://schemas.microsoft.com/office/drawing/2014/main" id="{00000000-0008-0000-0300-000020000000}"/>
            </a:ext>
          </a:extLst>
        </xdr:cNvPr>
        <xdr:cNvCxnSpPr/>
      </xdr:nvCxnSpPr>
      <xdr:spPr>
        <a:xfrm flipH="1">
          <a:off x="7992341" y="3411683"/>
          <a:ext cx="1212274" cy="45893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294409</xdr:colOff>
      <xdr:row>15</xdr:row>
      <xdr:rowOff>0</xdr:rowOff>
    </xdr:from>
    <xdr:to>
      <xdr:col>15</xdr:col>
      <xdr:colOff>346363</xdr:colOff>
      <xdr:row>17</xdr:row>
      <xdr:rowOff>17317</xdr:rowOff>
    </xdr:to>
    <xdr:cxnSp macro="">
      <xdr:nvCxnSpPr>
        <xdr:cNvPr id="34" name="Straight Arrow Connector 33">
          <a:extLst>
            <a:ext uri="{FF2B5EF4-FFF2-40B4-BE49-F238E27FC236}">
              <a16:creationId xmlns:a16="http://schemas.microsoft.com/office/drawing/2014/main" id="{00000000-0008-0000-0300-000022000000}"/>
            </a:ext>
          </a:extLst>
        </xdr:cNvPr>
        <xdr:cNvCxnSpPr/>
      </xdr:nvCxnSpPr>
      <xdr:spPr>
        <a:xfrm>
          <a:off x="9195954" y="3403023"/>
          <a:ext cx="658091" cy="5022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588818</xdr:colOff>
      <xdr:row>18</xdr:row>
      <xdr:rowOff>0</xdr:rowOff>
    </xdr:from>
    <xdr:to>
      <xdr:col>14</xdr:col>
      <xdr:colOff>17319</xdr:colOff>
      <xdr:row>18</xdr:row>
      <xdr:rowOff>0</xdr:rowOff>
    </xdr:to>
    <xdr:cxnSp macro="">
      <xdr:nvCxnSpPr>
        <xdr:cNvPr id="37" name="Straight Arrow Connector 36">
          <a:extLst>
            <a:ext uri="{FF2B5EF4-FFF2-40B4-BE49-F238E27FC236}">
              <a16:creationId xmlns:a16="http://schemas.microsoft.com/office/drawing/2014/main" id="{00000000-0008-0000-0300-000025000000}"/>
            </a:ext>
          </a:extLst>
        </xdr:cNvPr>
        <xdr:cNvCxnSpPr/>
      </xdr:nvCxnSpPr>
      <xdr:spPr>
        <a:xfrm>
          <a:off x="8278091" y="4277591"/>
          <a:ext cx="640773"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600075</xdr:colOff>
      <xdr:row>6</xdr:row>
      <xdr:rowOff>85725</xdr:rowOff>
    </xdr:from>
    <xdr:to>
      <xdr:col>11</xdr:col>
      <xdr:colOff>0</xdr:colOff>
      <xdr:row>6</xdr:row>
      <xdr:rowOff>85725</xdr:rowOff>
    </xdr:to>
    <xdr:cxnSp macro="">
      <xdr:nvCxnSpPr>
        <xdr:cNvPr id="3" name="Straight Connector 2">
          <a:extLst>
            <a:ext uri="{FF2B5EF4-FFF2-40B4-BE49-F238E27FC236}">
              <a16:creationId xmlns:a16="http://schemas.microsoft.com/office/drawing/2014/main" id="{00000000-0008-0000-0500-000003000000}"/>
            </a:ext>
          </a:extLst>
        </xdr:cNvPr>
        <xdr:cNvCxnSpPr/>
      </xdr:nvCxnSpPr>
      <xdr:spPr>
        <a:xfrm>
          <a:off x="5848350" y="1285875"/>
          <a:ext cx="183832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304800</xdr:colOff>
      <xdr:row>4</xdr:row>
      <xdr:rowOff>0</xdr:rowOff>
    </xdr:from>
    <xdr:to>
      <xdr:col>8</xdr:col>
      <xdr:colOff>247650</xdr:colOff>
      <xdr:row>5</xdr:row>
      <xdr:rowOff>161925</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flipV="1">
          <a:off x="5553075" y="800100"/>
          <a:ext cx="552450" cy="3619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419100</xdr:colOff>
      <xdr:row>2</xdr:row>
      <xdr:rowOff>0</xdr:rowOff>
    </xdr:from>
    <xdr:to>
      <xdr:col>9</xdr:col>
      <xdr:colOff>219075</xdr:colOff>
      <xdr:row>2</xdr:row>
      <xdr:rowOff>190501</xdr:rowOff>
    </xdr:to>
    <xdr:cxnSp macro="">
      <xdr:nvCxnSpPr>
        <xdr:cNvPr id="7" name="Straight Connector 6">
          <a:extLst>
            <a:ext uri="{FF2B5EF4-FFF2-40B4-BE49-F238E27FC236}">
              <a16:creationId xmlns:a16="http://schemas.microsoft.com/office/drawing/2014/main" id="{00000000-0008-0000-0500-000007000000}"/>
            </a:ext>
          </a:extLst>
        </xdr:cNvPr>
        <xdr:cNvCxnSpPr/>
      </xdr:nvCxnSpPr>
      <xdr:spPr>
        <a:xfrm flipV="1">
          <a:off x="6276975" y="400050"/>
          <a:ext cx="409575" cy="19050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352425</xdr:colOff>
      <xdr:row>4</xdr:row>
      <xdr:rowOff>0</xdr:rowOff>
    </xdr:from>
    <xdr:to>
      <xdr:col>11</xdr:col>
      <xdr:colOff>304800</xdr:colOff>
      <xdr:row>6</xdr:row>
      <xdr:rowOff>0</xdr:rowOff>
    </xdr:to>
    <xdr:cxnSp macro="">
      <xdr:nvCxnSpPr>
        <xdr:cNvPr id="11" name="Straight Connector 10">
          <a:extLst>
            <a:ext uri="{FF2B5EF4-FFF2-40B4-BE49-F238E27FC236}">
              <a16:creationId xmlns:a16="http://schemas.microsoft.com/office/drawing/2014/main" id="{00000000-0008-0000-0500-00000B000000}"/>
            </a:ext>
          </a:extLst>
        </xdr:cNvPr>
        <xdr:cNvCxnSpPr/>
      </xdr:nvCxnSpPr>
      <xdr:spPr>
        <a:xfrm flipH="1" flipV="1">
          <a:off x="7429500" y="800100"/>
          <a:ext cx="561975" cy="400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466725</xdr:colOff>
      <xdr:row>2</xdr:row>
      <xdr:rowOff>0</xdr:rowOff>
    </xdr:from>
    <xdr:to>
      <xdr:col>10</xdr:col>
      <xdr:colOff>200025</xdr:colOff>
      <xdr:row>2</xdr:row>
      <xdr:rowOff>180975</xdr:rowOff>
    </xdr:to>
    <xdr:cxnSp macro="">
      <xdr:nvCxnSpPr>
        <xdr:cNvPr id="13" name="Straight Connector 12">
          <a:extLst>
            <a:ext uri="{FF2B5EF4-FFF2-40B4-BE49-F238E27FC236}">
              <a16:creationId xmlns:a16="http://schemas.microsoft.com/office/drawing/2014/main" id="{00000000-0008-0000-0500-00000D000000}"/>
            </a:ext>
          </a:extLst>
        </xdr:cNvPr>
        <xdr:cNvCxnSpPr/>
      </xdr:nvCxnSpPr>
      <xdr:spPr>
        <a:xfrm flipH="1" flipV="1">
          <a:off x="6934200" y="400050"/>
          <a:ext cx="342900" cy="1809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dysh_000/Dropbox/Numerology/&#1050;&#1051;&#1048;&#1045;&#1053;&#1058;&#1067;/&#1053;&#1072;&#1088;&#1075;&#1080;&#1079;&#1072;/MainFi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Главная"/>
      <sheetName val="Кристалл Судьбы"/>
      <sheetName val="Совместимость"/>
      <sheetName val="Прогностика"/>
      <sheetName val="График Кармы"/>
      <sheetName val="График Партнерства"/>
      <sheetName val="График Карьеры"/>
      <sheetName val="Финансовый поток"/>
      <sheetName val="11. Расписание Ангелов"/>
      <sheetName val="Соц Задачи"/>
      <sheetName val="Карта рождения человека"/>
      <sheetName val="Карта подсознания человека"/>
      <sheetName val="Карта кармических уроков"/>
      <sheetName val="Карта Имени"/>
      <sheetName val="Число выражения"/>
      <sheetName val="Точка препятствия"/>
      <sheetName val="ОПВ"/>
      <sheetName val="Планетарные задачи"/>
      <sheetName val="Годичные циклы"/>
      <sheetName val="РасписаниеАнгелов"/>
      <sheetName val="Родовые Эгрегоры"/>
      <sheetName val="Кармические задачи"/>
      <sheetName val="Кармические болезни"/>
      <sheetName val="Нумерологические болезни"/>
      <sheetName val="Матрица Должники"/>
      <sheetName val="Кармические Страны"/>
    </sheetNames>
    <sheetDataSet>
      <sheetData sheetId="0">
        <row r="5">
          <cell r="H5">
            <v>1</v>
          </cell>
        </row>
        <row r="6">
          <cell r="H6">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humandes.ru/astroserviceprog.html"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U38"/>
  <sheetViews>
    <sheetView workbookViewId="0">
      <selection activeCell="B15" sqref="B15"/>
    </sheetView>
  </sheetViews>
  <sheetFormatPr defaultColWidth="8.875" defaultRowHeight="15" x14ac:dyDescent="0.25"/>
  <cols>
    <col min="1" max="1" width="19.125" customWidth="1"/>
    <col min="16" max="16" width="7.125" customWidth="1"/>
    <col min="17" max="17" width="6.75" customWidth="1"/>
    <col min="18" max="18" width="7" customWidth="1"/>
  </cols>
  <sheetData>
    <row r="1" spans="1:47" s="531" customFormat="1" ht="35.450000000000003" customHeight="1" x14ac:dyDescent="0.25">
      <c r="A1" s="528"/>
      <c r="B1" s="529">
        <v>1</v>
      </c>
      <c r="C1" s="529" t="s">
        <v>818</v>
      </c>
      <c r="D1" s="529" t="s">
        <v>819</v>
      </c>
      <c r="E1" s="529" t="s">
        <v>820</v>
      </c>
      <c r="F1" s="529" t="s">
        <v>821</v>
      </c>
      <c r="G1" s="529" t="s">
        <v>822</v>
      </c>
      <c r="H1" s="529" t="s">
        <v>823</v>
      </c>
      <c r="I1" s="529" t="s">
        <v>824</v>
      </c>
      <c r="J1" s="529" t="s">
        <v>825</v>
      </c>
      <c r="K1" s="529" t="s">
        <v>826</v>
      </c>
      <c r="L1" s="529" t="s">
        <v>827</v>
      </c>
      <c r="M1" s="529" t="s">
        <v>828</v>
      </c>
      <c r="N1" s="529" t="s">
        <v>829</v>
      </c>
      <c r="O1" s="529" t="s">
        <v>830</v>
      </c>
      <c r="P1" s="529" t="s">
        <v>831</v>
      </c>
      <c r="Q1" s="529" t="s">
        <v>832</v>
      </c>
      <c r="R1" s="529" t="s">
        <v>833</v>
      </c>
      <c r="S1" s="529" t="s">
        <v>834</v>
      </c>
      <c r="T1" s="529" t="s">
        <v>835</v>
      </c>
      <c r="U1" s="529" t="s">
        <v>836</v>
      </c>
      <c r="V1" s="529" t="s">
        <v>837</v>
      </c>
      <c r="W1" s="529" t="s">
        <v>838</v>
      </c>
      <c r="X1" s="529"/>
      <c r="Y1" s="529"/>
      <c r="Z1" s="529"/>
      <c r="AA1" s="529"/>
      <c r="AB1" s="529"/>
      <c r="AC1" s="529"/>
      <c r="AD1" s="529"/>
      <c r="AE1" s="529"/>
      <c r="AF1" s="529"/>
      <c r="AG1" s="529"/>
      <c r="AH1" s="529"/>
      <c r="AI1" s="529"/>
      <c r="AJ1" s="530"/>
      <c r="AK1" s="530"/>
      <c r="AL1" s="530"/>
      <c r="AM1" s="530"/>
      <c r="AN1" s="530"/>
      <c r="AO1" s="530"/>
      <c r="AP1" s="530"/>
      <c r="AQ1" s="530"/>
      <c r="AR1" s="530"/>
      <c r="AS1" s="530"/>
      <c r="AT1" s="530"/>
      <c r="AU1" s="530"/>
    </row>
    <row r="2" spans="1:47" s="536" customFormat="1" ht="35.450000000000003" customHeight="1" x14ac:dyDescent="0.2">
      <c r="A2" s="532" t="s">
        <v>839</v>
      </c>
      <c r="B2" s="533" t="s">
        <v>840</v>
      </c>
      <c r="C2" s="533" t="s">
        <v>841</v>
      </c>
      <c r="D2" s="533" t="s">
        <v>842</v>
      </c>
      <c r="E2" s="533" t="s">
        <v>843</v>
      </c>
      <c r="F2" s="533" t="s">
        <v>844</v>
      </c>
      <c r="G2" s="533" t="s">
        <v>845</v>
      </c>
      <c r="H2" s="533" t="s">
        <v>846</v>
      </c>
      <c r="I2" s="533" t="s">
        <v>847</v>
      </c>
      <c r="J2" s="533" t="s">
        <v>848</v>
      </c>
      <c r="K2" s="533" t="s">
        <v>849</v>
      </c>
      <c r="L2" s="533" t="s">
        <v>850</v>
      </c>
      <c r="M2" s="533" t="s">
        <v>851</v>
      </c>
      <c r="N2" s="533" t="s">
        <v>1058</v>
      </c>
      <c r="O2" s="533" t="s">
        <v>1059</v>
      </c>
      <c r="P2" s="533" t="s">
        <v>1063</v>
      </c>
      <c r="Q2" s="533"/>
      <c r="R2" s="533"/>
      <c r="S2" s="533"/>
      <c r="T2" s="533"/>
      <c r="U2" s="533"/>
      <c r="V2" s="533"/>
      <c r="W2" s="533"/>
      <c r="X2" s="534"/>
      <c r="Y2" s="534"/>
      <c r="Z2" s="534"/>
      <c r="AA2" s="534"/>
      <c r="AB2" s="534"/>
      <c r="AC2" s="534"/>
      <c r="AD2" s="534"/>
      <c r="AE2" s="534"/>
      <c r="AF2" s="534"/>
      <c r="AG2" s="534"/>
      <c r="AH2" s="534"/>
      <c r="AI2" s="534"/>
      <c r="AJ2" s="535"/>
      <c r="AK2" s="535"/>
      <c r="AL2" s="535"/>
      <c r="AM2" s="535"/>
      <c r="AN2" s="535"/>
      <c r="AO2" s="535"/>
      <c r="AP2" s="535"/>
      <c r="AQ2" s="535"/>
      <c r="AR2" s="535"/>
      <c r="AS2" s="535"/>
      <c r="AT2" s="535"/>
      <c r="AU2" s="535"/>
    </row>
    <row r="3" spans="1:47" s="539" customFormat="1" ht="35.450000000000003" customHeight="1" x14ac:dyDescent="0.2">
      <c r="A3" s="532" t="s">
        <v>852</v>
      </c>
      <c r="B3" s="533" t="s">
        <v>853</v>
      </c>
      <c r="C3" s="533" t="s">
        <v>854</v>
      </c>
      <c r="D3" s="533" t="s">
        <v>855</v>
      </c>
      <c r="E3" s="533" t="s">
        <v>856</v>
      </c>
      <c r="F3" s="533" t="s">
        <v>857</v>
      </c>
      <c r="G3" s="533" t="s">
        <v>858</v>
      </c>
      <c r="H3" s="533" t="s">
        <v>859</v>
      </c>
      <c r="I3" s="533" t="s">
        <v>860</v>
      </c>
      <c r="J3" s="533" t="s">
        <v>861</v>
      </c>
      <c r="K3" s="533" t="s">
        <v>862</v>
      </c>
      <c r="L3" s="533" t="s">
        <v>863</v>
      </c>
      <c r="M3" s="533" t="s">
        <v>864</v>
      </c>
      <c r="N3" s="533" t="s">
        <v>865</v>
      </c>
      <c r="O3" s="533" t="s">
        <v>866</v>
      </c>
      <c r="P3" s="533" t="s">
        <v>867</v>
      </c>
      <c r="Q3" s="533" t="s">
        <v>868</v>
      </c>
      <c r="R3" s="533" t="s">
        <v>869</v>
      </c>
      <c r="S3" s="533" t="s">
        <v>870</v>
      </c>
      <c r="T3" s="533" t="s">
        <v>871</v>
      </c>
      <c r="U3" s="533" t="s">
        <v>872</v>
      </c>
      <c r="V3" s="533" t="s">
        <v>873</v>
      </c>
      <c r="W3" s="537" t="s">
        <v>874</v>
      </c>
      <c r="X3" s="534"/>
      <c r="Y3" s="534"/>
      <c r="Z3" s="534"/>
      <c r="AA3" s="534"/>
      <c r="AB3" s="534"/>
      <c r="AC3" s="534"/>
      <c r="AD3" s="534"/>
      <c r="AE3" s="534"/>
      <c r="AF3" s="534"/>
      <c r="AG3" s="534"/>
      <c r="AH3" s="534"/>
      <c r="AI3" s="534"/>
      <c r="AJ3" s="538"/>
      <c r="AK3" s="538"/>
      <c r="AL3" s="538"/>
      <c r="AM3" s="538"/>
      <c r="AN3" s="538"/>
      <c r="AO3" s="538"/>
      <c r="AP3" s="538"/>
      <c r="AQ3" s="538"/>
      <c r="AR3" s="538"/>
      <c r="AS3" s="538"/>
      <c r="AT3" s="538"/>
      <c r="AU3" s="538"/>
    </row>
    <row r="4" spans="1:47" s="536" customFormat="1" ht="35.450000000000003" customHeight="1" x14ac:dyDescent="0.2">
      <c r="A4" s="532" t="s">
        <v>875</v>
      </c>
      <c r="B4" s="533" t="s">
        <v>876</v>
      </c>
      <c r="C4" s="533" t="s">
        <v>877</v>
      </c>
      <c r="D4" s="533" t="s">
        <v>878</v>
      </c>
      <c r="E4" s="533" t="s">
        <v>879</v>
      </c>
      <c r="F4" s="533" t="s">
        <v>880</v>
      </c>
      <c r="G4" s="533" t="s">
        <v>881</v>
      </c>
      <c r="H4" s="533" t="s">
        <v>882</v>
      </c>
      <c r="I4" s="533" t="s">
        <v>883</v>
      </c>
      <c r="J4" s="533" t="s">
        <v>884</v>
      </c>
      <c r="K4" s="533" t="s">
        <v>885</v>
      </c>
      <c r="L4" s="533" t="s">
        <v>886</v>
      </c>
      <c r="M4" s="533" t="s">
        <v>887</v>
      </c>
      <c r="N4" s="533" t="s">
        <v>888</v>
      </c>
      <c r="O4" s="533" t="s">
        <v>889</v>
      </c>
      <c r="P4" s="533" t="s">
        <v>890</v>
      </c>
      <c r="Q4" s="533" t="s">
        <v>891</v>
      </c>
      <c r="R4" s="533" t="s">
        <v>892</v>
      </c>
      <c r="S4" s="537" t="s">
        <v>893</v>
      </c>
      <c r="T4" s="537" t="s">
        <v>894</v>
      </c>
      <c r="U4" s="537" t="s">
        <v>895</v>
      </c>
      <c r="V4" s="533" t="s">
        <v>896</v>
      </c>
      <c r="W4" s="537" t="s">
        <v>897</v>
      </c>
      <c r="X4" s="534"/>
      <c r="Y4" s="534"/>
      <c r="Z4" s="534"/>
      <c r="AA4" s="534"/>
      <c r="AB4" s="534"/>
      <c r="AC4" s="534"/>
      <c r="AD4" s="534"/>
      <c r="AE4" s="534"/>
      <c r="AF4" s="534"/>
      <c r="AG4" s="534"/>
      <c r="AH4" s="534"/>
      <c r="AI4" s="534"/>
      <c r="AJ4" s="535"/>
      <c r="AK4" s="535"/>
      <c r="AL4" s="535"/>
      <c r="AM4" s="535"/>
      <c r="AN4" s="535"/>
      <c r="AO4" s="535"/>
      <c r="AP4" s="535"/>
      <c r="AQ4" s="535"/>
      <c r="AR4" s="535"/>
      <c r="AS4" s="535"/>
      <c r="AT4" s="535"/>
      <c r="AU4" s="535"/>
    </row>
    <row r="5" spans="1:47" s="536" customFormat="1" ht="35.450000000000003" customHeight="1" x14ac:dyDescent="0.2">
      <c r="A5" s="532" t="s">
        <v>898</v>
      </c>
      <c r="B5" s="533" t="s">
        <v>899</v>
      </c>
      <c r="C5" s="533" t="s">
        <v>900</v>
      </c>
      <c r="D5" s="540" t="s">
        <v>901</v>
      </c>
      <c r="E5" s="533" t="s">
        <v>902</v>
      </c>
      <c r="F5" s="533" t="s">
        <v>903</v>
      </c>
      <c r="G5" s="533" t="s">
        <v>904</v>
      </c>
      <c r="H5" s="533" t="s">
        <v>905</v>
      </c>
      <c r="I5" s="533" t="s">
        <v>906</v>
      </c>
      <c r="J5" s="533" t="s">
        <v>907</v>
      </c>
      <c r="K5" s="533" t="s">
        <v>908</v>
      </c>
      <c r="L5" s="533" t="s">
        <v>909</v>
      </c>
      <c r="M5" s="533" t="s">
        <v>910</v>
      </c>
      <c r="N5" s="533" t="s">
        <v>911</v>
      </c>
      <c r="O5" s="533" t="s">
        <v>912</v>
      </c>
      <c r="P5" s="533" t="s">
        <v>913</v>
      </c>
      <c r="Q5" s="533" t="s">
        <v>914</v>
      </c>
      <c r="R5" s="533" t="s">
        <v>915</v>
      </c>
      <c r="S5" s="533" t="s">
        <v>916</v>
      </c>
      <c r="T5" s="533" t="s">
        <v>917</v>
      </c>
      <c r="U5" s="533" t="s">
        <v>918</v>
      </c>
      <c r="V5" s="533" t="s">
        <v>919</v>
      </c>
      <c r="W5" s="537" t="s">
        <v>920</v>
      </c>
      <c r="X5" s="534"/>
      <c r="Y5" s="534"/>
      <c r="Z5" s="534"/>
      <c r="AA5" s="534"/>
      <c r="AB5" s="534"/>
      <c r="AC5" s="534"/>
      <c r="AD5" s="534"/>
      <c r="AE5" s="534"/>
      <c r="AF5" s="534"/>
      <c r="AG5" s="534"/>
      <c r="AH5" s="534"/>
      <c r="AI5" s="534"/>
      <c r="AJ5" s="535"/>
      <c r="AK5" s="535"/>
      <c r="AL5" s="535"/>
      <c r="AM5" s="535"/>
      <c r="AN5" s="535"/>
      <c r="AO5" s="535"/>
      <c r="AP5" s="535"/>
      <c r="AQ5" s="535"/>
      <c r="AR5" s="535"/>
      <c r="AS5" s="535"/>
      <c r="AT5" s="535"/>
      <c r="AU5" s="535"/>
    </row>
    <row r="6" spans="1:47" s="536" customFormat="1" ht="35.450000000000003" customHeight="1" x14ac:dyDescent="0.2">
      <c r="A6" s="532" t="s">
        <v>921</v>
      </c>
      <c r="B6" s="533" t="s">
        <v>922</v>
      </c>
      <c r="C6" s="533" t="s">
        <v>923</v>
      </c>
      <c r="D6" s="540" t="s">
        <v>924</v>
      </c>
      <c r="E6" s="533" t="s">
        <v>925</v>
      </c>
      <c r="F6" s="533" t="s">
        <v>926</v>
      </c>
      <c r="G6" s="533" t="s">
        <v>927</v>
      </c>
      <c r="H6" s="533" t="s">
        <v>928</v>
      </c>
      <c r="I6" s="533" t="s">
        <v>929</v>
      </c>
      <c r="J6" s="533" t="s">
        <v>930</v>
      </c>
      <c r="K6" s="533" t="s">
        <v>931</v>
      </c>
      <c r="L6" s="533" t="s">
        <v>932</v>
      </c>
      <c r="M6" s="533" t="s">
        <v>933</v>
      </c>
      <c r="N6" s="533" t="s">
        <v>934</v>
      </c>
      <c r="O6" s="533" t="s">
        <v>931</v>
      </c>
      <c r="P6" s="533" t="s">
        <v>935</v>
      </c>
      <c r="Q6" s="533" t="s">
        <v>936</v>
      </c>
      <c r="R6" s="533" t="s">
        <v>937</v>
      </c>
      <c r="S6" s="533" t="s">
        <v>938</v>
      </c>
      <c r="T6" s="533" t="s">
        <v>939</v>
      </c>
      <c r="U6" s="533" t="s">
        <v>940</v>
      </c>
      <c r="V6" s="533" t="s">
        <v>941</v>
      </c>
      <c r="W6" s="537" t="s">
        <v>942</v>
      </c>
      <c r="X6" s="534"/>
      <c r="Y6" s="534"/>
      <c r="Z6" s="534"/>
      <c r="AA6" s="534"/>
      <c r="AB6" s="534"/>
      <c r="AC6" s="534"/>
      <c r="AD6" s="534"/>
      <c r="AE6" s="534"/>
      <c r="AF6" s="534"/>
      <c r="AG6" s="534"/>
      <c r="AH6" s="534"/>
      <c r="AI6" s="534"/>
      <c r="AJ6" s="535"/>
      <c r="AK6" s="535"/>
      <c r="AL6" s="535"/>
      <c r="AM6" s="535"/>
      <c r="AN6" s="535"/>
      <c r="AO6" s="535"/>
      <c r="AP6" s="535"/>
      <c r="AQ6" s="535"/>
      <c r="AR6" s="535"/>
      <c r="AS6" s="535"/>
      <c r="AT6" s="535"/>
      <c r="AU6" s="535"/>
    </row>
    <row r="7" spans="1:47" s="542" customFormat="1" ht="35.450000000000003" customHeight="1" x14ac:dyDescent="0.2">
      <c r="A7" s="541" t="s">
        <v>943</v>
      </c>
      <c r="B7" s="533" t="s">
        <v>944</v>
      </c>
      <c r="C7" s="533" t="s">
        <v>945</v>
      </c>
      <c r="D7" s="533" t="s">
        <v>946</v>
      </c>
      <c r="E7" s="533" t="s">
        <v>947</v>
      </c>
      <c r="F7" s="533" t="s">
        <v>948</v>
      </c>
      <c r="G7" s="533" t="s">
        <v>949</v>
      </c>
      <c r="H7" s="533" t="s">
        <v>950</v>
      </c>
      <c r="I7" s="533" t="s">
        <v>951</v>
      </c>
      <c r="J7" s="533" t="s">
        <v>1060</v>
      </c>
      <c r="K7" s="533" t="s">
        <v>952</v>
      </c>
      <c r="L7" s="533" t="s">
        <v>953</v>
      </c>
      <c r="M7" s="533" t="s">
        <v>954</v>
      </c>
      <c r="N7" s="533" t="s">
        <v>955</v>
      </c>
      <c r="O7" s="533" t="s">
        <v>956</v>
      </c>
      <c r="P7" s="533" t="s">
        <v>957</v>
      </c>
      <c r="Q7" s="533" t="s">
        <v>958</v>
      </c>
      <c r="R7" s="533" t="s">
        <v>959</v>
      </c>
      <c r="S7" s="533" t="s">
        <v>960</v>
      </c>
      <c r="T7" s="533" t="s">
        <v>961</v>
      </c>
      <c r="U7" s="533" t="s">
        <v>962</v>
      </c>
      <c r="V7" s="533" t="s">
        <v>963</v>
      </c>
      <c r="W7" s="533" t="s">
        <v>964</v>
      </c>
      <c r="X7" s="534"/>
      <c r="Y7" s="534"/>
      <c r="Z7" s="534"/>
      <c r="AA7" s="534"/>
      <c r="AB7" s="534"/>
      <c r="AC7" s="534"/>
      <c r="AD7" s="534"/>
      <c r="AE7" s="534"/>
      <c r="AF7" s="534"/>
      <c r="AG7" s="534"/>
      <c r="AH7" s="534"/>
      <c r="AI7" s="534"/>
      <c r="AJ7" s="535"/>
      <c r="AK7" s="535"/>
      <c r="AL7" s="535"/>
      <c r="AM7" s="535"/>
      <c r="AN7" s="535"/>
      <c r="AO7" s="535"/>
      <c r="AP7" s="535"/>
      <c r="AQ7" s="535"/>
      <c r="AR7" s="535"/>
      <c r="AS7" s="535"/>
      <c r="AT7" s="535"/>
      <c r="AU7" s="535"/>
    </row>
    <row r="8" spans="1:47" s="536" customFormat="1" ht="35.450000000000003" customHeight="1" x14ac:dyDescent="0.2">
      <c r="A8" s="543" t="s">
        <v>965</v>
      </c>
      <c r="B8" s="544" t="s">
        <v>1107</v>
      </c>
      <c r="C8" s="537" t="s">
        <v>1108</v>
      </c>
      <c r="D8" s="544" t="s">
        <v>1109</v>
      </c>
      <c r="E8" s="544" t="s">
        <v>1110</v>
      </c>
      <c r="F8" s="544" t="s">
        <v>1111</v>
      </c>
      <c r="G8" s="544" t="s">
        <v>1112</v>
      </c>
      <c r="H8" s="544" t="s">
        <v>1113</v>
      </c>
      <c r="I8" s="533" t="s">
        <v>1114</v>
      </c>
      <c r="J8" s="544" t="s">
        <v>1115</v>
      </c>
      <c r="K8" s="544" t="s">
        <v>1116</v>
      </c>
      <c r="L8" s="544" t="s">
        <v>1117</v>
      </c>
      <c r="M8" s="544" t="s">
        <v>1118</v>
      </c>
      <c r="N8" s="533"/>
      <c r="O8" s="533"/>
      <c r="P8" s="533"/>
      <c r="Q8" s="533"/>
      <c r="R8" s="533"/>
      <c r="S8" s="533"/>
      <c r="T8" s="533"/>
      <c r="U8" s="533"/>
      <c r="V8" s="533"/>
      <c r="W8" s="533"/>
      <c r="X8" s="534"/>
      <c r="Y8" s="534"/>
      <c r="Z8" s="534"/>
      <c r="AA8" s="534"/>
      <c r="AB8" s="534"/>
      <c r="AC8" s="534"/>
      <c r="AD8" s="534"/>
      <c r="AE8" s="534"/>
      <c r="AF8" s="534"/>
      <c r="AG8" s="534"/>
      <c r="AH8" s="534"/>
      <c r="AI8" s="534"/>
      <c r="AJ8" s="535"/>
      <c r="AK8" s="535"/>
      <c r="AL8" s="535"/>
      <c r="AM8" s="535"/>
      <c r="AN8" s="535"/>
      <c r="AO8" s="535"/>
      <c r="AP8" s="535"/>
      <c r="AQ8" s="535"/>
      <c r="AR8" s="535"/>
      <c r="AS8" s="535"/>
      <c r="AT8" s="535"/>
      <c r="AU8" s="535"/>
    </row>
    <row r="9" spans="1:47" s="536" customFormat="1" ht="35.450000000000003" customHeight="1" x14ac:dyDescent="0.2">
      <c r="A9" s="541" t="s">
        <v>966</v>
      </c>
      <c r="B9" s="533" t="s">
        <v>967</v>
      </c>
      <c r="C9" s="533" t="s">
        <v>968</v>
      </c>
      <c r="D9" s="533" t="s">
        <v>969</v>
      </c>
      <c r="E9" s="533" t="s">
        <v>970</v>
      </c>
      <c r="F9" s="533" t="s">
        <v>971</v>
      </c>
      <c r="G9" s="533" t="s">
        <v>972</v>
      </c>
      <c r="H9" s="533" t="s">
        <v>973</v>
      </c>
      <c r="I9" s="533" t="s">
        <v>974</v>
      </c>
      <c r="J9" s="533" t="s">
        <v>975</v>
      </c>
      <c r="K9" s="533" t="s">
        <v>976</v>
      </c>
      <c r="L9" s="533" t="s">
        <v>977</v>
      </c>
      <c r="M9" s="533" t="s">
        <v>978</v>
      </c>
      <c r="N9" s="533" t="s">
        <v>979</v>
      </c>
      <c r="O9" s="533" t="s">
        <v>980</v>
      </c>
      <c r="P9" s="533" t="s">
        <v>981</v>
      </c>
      <c r="Q9" s="533" t="s">
        <v>982</v>
      </c>
      <c r="R9" s="533" t="s">
        <v>983</v>
      </c>
      <c r="S9" s="533" t="s">
        <v>984</v>
      </c>
      <c r="T9" s="533" t="s">
        <v>985</v>
      </c>
      <c r="U9" s="533" t="s">
        <v>986</v>
      </c>
      <c r="V9" s="533" t="s">
        <v>987</v>
      </c>
      <c r="W9" s="533" t="s">
        <v>988</v>
      </c>
      <c r="X9" s="534"/>
      <c r="Y9" s="534"/>
      <c r="Z9" s="534"/>
      <c r="AA9" s="534"/>
      <c r="AB9" s="534"/>
      <c r="AC9" s="534"/>
      <c r="AD9" s="534"/>
      <c r="AE9" s="534"/>
      <c r="AF9" s="534"/>
      <c r="AG9" s="534"/>
      <c r="AH9" s="534"/>
      <c r="AI9" s="534"/>
      <c r="AJ9" s="535"/>
      <c r="AK9" s="535"/>
      <c r="AL9" s="535"/>
      <c r="AM9" s="535"/>
      <c r="AN9" s="535"/>
      <c r="AO9" s="535"/>
      <c r="AP9" s="535"/>
      <c r="AQ9" s="535"/>
      <c r="AR9" s="535"/>
      <c r="AS9" s="535"/>
      <c r="AT9" s="535"/>
      <c r="AU9" s="535"/>
    </row>
    <row r="10" spans="1:47" s="536" customFormat="1" ht="35.450000000000003" customHeight="1" x14ac:dyDescent="0.2">
      <c r="A10" s="541" t="s">
        <v>989</v>
      </c>
      <c r="B10" s="533" t="s">
        <v>990</v>
      </c>
      <c r="C10" s="533" t="s">
        <v>991</v>
      </c>
      <c r="D10" s="533" t="s">
        <v>992</v>
      </c>
      <c r="E10" s="533" t="s">
        <v>993</v>
      </c>
      <c r="F10" s="533" t="s">
        <v>994</v>
      </c>
      <c r="G10" s="533" t="s">
        <v>995</v>
      </c>
      <c r="H10" s="533" t="s">
        <v>996</v>
      </c>
      <c r="I10" s="533" t="s">
        <v>997</v>
      </c>
      <c r="J10" s="533" t="s">
        <v>998</v>
      </c>
      <c r="K10" s="533" t="s">
        <v>999</v>
      </c>
      <c r="L10" s="533" t="s">
        <v>1000</v>
      </c>
      <c r="M10" s="533" t="s">
        <v>1001</v>
      </c>
      <c r="N10" s="533" t="s">
        <v>1002</v>
      </c>
      <c r="O10" s="533" t="s">
        <v>1003</v>
      </c>
      <c r="P10" s="533" t="s">
        <v>1004</v>
      </c>
      <c r="Q10" s="533" t="s">
        <v>1005</v>
      </c>
      <c r="R10" s="533" t="s">
        <v>1006</v>
      </c>
      <c r="S10" s="533" t="s">
        <v>1007</v>
      </c>
      <c r="T10" s="533" t="s">
        <v>1008</v>
      </c>
      <c r="U10" s="533" t="s">
        <v>1009</v>
      </c>
      <c r="V10" s="533" t="s">
        <v>1010</v>
      </c>
      <c r="W10" s="533" t="s">
        <v>1011</v>
      </c>
      <c r="X10" s="534"/>
      <c r="Y10" s="534"/>
      <c r="Z10" s="534"/>
      <c r="AA10" s="534"/>
      <c r="AB10" s="534"/>
      <c r="AC10" s="534"/>
      <c r="AD10" s="534"/>
      <c r="AE10" s="534"/>
      <c r="AF10" s="534"/>
      <c r="AG10" s="534"/>
      <c r="AH10" s="534"/>
      <c r="AI10" s="534"/>
      <c r="AJ10" s="535"/>
      <c r="AK10" s="535"/>
      <c r="AL10" s="535"/>
      <c r="AM10" s="535"/>
      <c r="AN10" s="535"/>
      <c r="AO10" s="535"/>
      <c r="AP10" s="535"/>
      <c r="AQ10" s="535"/>
      <c r="AR10" s="535"/>
      <c r="AS10" s="535"/>
      <c r="AT10" s="535"/>
      <c r="AU10" s="535"/>
    </row>
    <row r="11" spans="1:47" s="536" customFormat="1" ht="35.450000000000003" customHeight="1" x14ac:dyDescent="0.2">
      <c r="A11" s="532" t="s">
        <v>624</v>
      </c>
      <c r="B11" s="533" t="s">
        <v>1012</v>
      </c>
      <c r="C11" s="533" t="s">
        <v>1013</v>
      </c>
      <c r="D11" s="533" t="s">
        <v>1014</v>
      </c>
      <c r="E11" s="533" t="s">
        <v>1015</v>
      </c>
      <c r="F11" s="533" t="s">
        <v>1016</v>
      </c>
      <c r="G11" s="533" t="s">
        <v>1017</v>
      </c>
      <c r="H11" s="533" t="s">
        <v>541</v>
      </c>
      <c r="I11" s="533" t="s">
        <v>1018</v>
      </c>
      <c r="J11" s="533" t="s">
        <v>1019</v>
      </c>
      <c r="K11" s="533" t="s">
        <v>1020</v>
      </c>
      <c r="L11" s="533" t="s">
        <v>1021</v>
      </c>
      <c r="M11" s="533" t="s">
        <v>1022</v>
      </c>
      <c r="N11" s="533" t="s">
        <v>1023</v>
      </c>
      <c r="O11" s="533" t="s">
        <v>1024</v>
      </c>
      <c r="P11" s="533" t="s">
        <v>1025</v>
      </c>
      <c r="Q11" s="533" t="s">
        <v>1026</v>
      </c>
      <c r="R11" s="533" t="s">
        <v>1027</v>
      </c>
      <c r="S11" s="533" t="s">
        <v>1028</v>
      </c>
      <c r="T11" s="533" t="s">
        <v>1029</v>
      </c>
      <c r="U11" s="533" t="s">
        <v>1030</v>
      </c>
      <c r="V11" s="533" t="s">
        <v>1031</v>
      </c>
      <c r="W11" s="537" t="s">
        <v>1032</v>
      </c>
      <c r="X11" s="534"/>
      <c r="Y11" s="534"/>
      <c r="Z11" s="534"/>
      <c r="AA11" s="534"/>
      <c r="AB11" s="534"/>
      <c r="AC11" s="534"/>
      <c r="AD11" s="534"/>
      <c r="AE11" s="534"/>
      <c r="AF11" s="534"/>
      <c r="AG11" s="534"/>
      <c r="AH11" s="534"/>
      <c r="AI11" s="534"/>
      <c r="AJ11" s="535"/>
      <c r="AK11" s="535"/>
      <c r="AL11" s="535"/>
      <c r="AM11" s="535"/>
      <c r="AN11" s="535"/>
      <c r="AO11" s="535"/>
      <c r="AP11" s="535"/>
      <c r="AQ11" s="535"/>
      <c r="AR11" s="535"/>
      <c r="AS11" s="535"/>
      <c r="AT11" s="535"/>
      <c r="AU11" s="535"/>
    </row>
    <row r="12" spans="1:47" s="536" customFormat="1" ht="35.450000000000003" customHeight="1" x14ac:dyDescent="0.2">
      <c r="A12" s="532" t="s">
        <v>1033</v>
      </c>
      <c r="B12" s="533" t="s">
        <v>1034</v>
      </c>
      <c r="C12" s="533" t="s">
        <v>1035</v>
      </c>
      <c r="D12" s="533" t="s">
        <v>1036</v>
      </c>
      <c r="E12" s="533" t="s">
        <v>1037</v>
      </c>
      <c r="F12" s="533" t="s">
        <v>1038</v>
      </c>
      <c r="G12" s="533" t="s">
        <v>1039</v>
      </c>
      <c r="H12" s="533" t="s">
        <v>1040</v>
      </c>
      <c r="I12" s="533" t="s">
        <v>1041</v>
      </c>
      <c r="J12" s="533" t="s">
        <v>1042</v>
      </c>
      <c r="K12" s="533" t="s">
        <v>1043</v>
      </c>
      <c r="L12" s="533" t="s">
        <v>1044</v>
      </c>
      <c r="M12" s="533" t="s">
        <v>1045</v>
      </c>
      <c r="N12" s="533" t="s">
        <v>1046</v>
      </c>
      <c r="O12" s="533" t="s">
        <v>1047</v>
      </c>
      <c r="P12" s="545" t="s">
        <v>1048</v>
      </c>
      <c r="Q12" s="533" t="s">
        <v>1049</v>
      </c>
      <c r="R12" s="533" t="s">
        <v>1050</v>
      </c>
      <c r="S12" s="533" t="s">
        <v>1051</v>
      </c>
      <c r="T12" s="533" t="s">
        <v>1052</v>
      </c>
      <c r="U12" s="533" t="s">
        <v>1053</v>
      </c>
      <c r="V12" s="533" t="s">
        <v>1054</v>
      </c>
      <c r="W12" s="537" t="s">
        <v>1055</v>
      </c>
      <c r="X12" s="534"/>
      <c r="Y12" s="534"/>
      <c r="Z12" s="534"/>
      <c r="AA12" s="534"/>
      <c r="AB12" s="534"/>
      <c r="AC12" s="534"/>
      <c r="AD12" s="534"/>
      <c r="AE12" s="534"/>
      <c r="AF12" s="534"/>
      <c r="AG12" s="534"/>
      <c r="AH12" s="534"/>
      <c r="AI12" s="534"/>
      <c r="AJ12" s="535"/>
      <c r="AK12" s="535"/>
      <c r="AL12" s="535"/>
      <c r="AM12" s="535"/>
      <c r="AN12" s="535"/>
      <c r="AO12" s="535"/>
      <c r="AP12" s="535"/>
      <c r="AQ12" s="535"/>
      <c r="AR12" s="535"/>
      <c r="AS12" s="535"/>
      <c r="AT12" s="535"/>
      <c r="AU12" s="535"/>
    </row>
    <row r="13" spans="1:47" s="558" customFormat="1" ht="35.450000000000003" customHeight="1" x14ac:dyDescent="0.25">
      <c r="A13" s="532" t="s">
        <v>1056</v>
      </c>
      <c r="B13" s="557" t="s">
        <v>1064</v>
      </c>
      <c r="C13" s="557" t="s">
        <v>1065</v>
      </c>
      <c r="D13" s="557" t="s">
        <v>1066</v>
      </c>
      <c r="E13" s="557" t="s">
        <v>1067</v>
      </c>
      <c r="F13" s="557" t="s">
        <v>1068</v>
      </c>
      <c r="G13" s="557" t="s">
        <v>1069</v>
      </c>
      <c r="H13" s="557" t="s">
        <v>1070</v>
      </c>
      <c r="I13" s="557" t="s">
        <v>1071</v>
      </c>
      <c r="J13" s="557" t="s">
        <v>1072</v>
      </c>
      <c r="K13" s="557" t="s">
        <v>1073</v>
      </c>
      <c r="L13" s="557" t="s">
        <v>1074</v>
      </c>
      <c r="M13" s="557" t="s">
        <v>1057</v>
      </c>
      <c r="N13" s="557" t="s">
        <v>1075</v>
      </c>
      <c r="O13" s="557" t="s">
        <v>1076</v>
      </c>
      <c r="P13" s="557" t="s">
        <v>1077</v>
      </c>
      <c r="Q13" s="557" t="s">
        <v>1078</v>
      </c>
      <c r="R13" s="557" t="s">
        <v>1079</v>
      </c>
      <c r="S13" s="557" t="s">
        <v>1080</v>
      </c>
      <c r="T13" s="557" t="s">
        <v>1081</v>
      </c>
      <c r="U13" s="557" t="s">
        <v>1082</v>
      </c>
      <c r="V13" s="557" t="s">
        <v>1083</v>
      </c>
      <c r="W13" s="557" t="s">
        <v>1084</v>
      </c>
    </row>
    <row r="14" spans="1:47" s="558" customFormat="1" ht="35.450000000000003" customHeight="1" x14ac:dyDescent="0.25">
      <c r="A14" s="532" t="s">
        <v>46</v>
      </c>
      <c r="B14" s="557" t="s">
        <v>1085</v>
      </c>
      <c r="C14" s="557" t="s">
        <v>1086</v>
      </c>
      <c r="D14" s="557" t="s">
        <v>1087</v>
      </c>
      <c r="E14" s="557" t="s">
        <v>1088</v>
      </c>
      <c r="F14" s="557" t="s">
        <v>1089</v>
      </c>
      <c r="G14" s="557" t="s">
        <v>1090</v>
      </c>
      <c r="H14" s="557" t="s">
        <v>1091</v>
      </c>
      <c r="I14" s="557" t="s">
        <v>1092</v>
      </c>
      <c r="J14" s="557" t="s">
        <v>1093</v>
      </c>
      <c r="K14" s="557" t="s">
        <v>1094</v>
      </c>
      <c r="L14" s="557" t="s">
        <v>1095</v>
      </c>
      <c r="M14" s="557" t="s">
        <v>1096</v>
      </c>
      <c r="N14" s="557" t="s">
        <v>1097</v>
      </c>
      <c r="O14" s="557" t="s">
        <v>1098</v>
      </c>
      <c r="P14" s="557" t="s">
        <v>1099</v>
      </c>
      <c r="Q14" s="557" t="s">
        <v>1100</v>
      </c>
      <c r="R14" s="557" t="s">
        <v>1101</v>
      </c>
      <c r="S14" s="557" t="s">
        <v>1102</v>
      </c>
      <c r="T14" s="557" t="s">
        <v>1103</v>
      </c>
      <c r="U14" s="557" t="s">
        <v>1104</v>
      </c>
      <c r="V14" s="557" t="s">
        <v>1105</v>
      </c>
      <c r="W14" s="557" t="s">
        <v>1106</v>
      </c>
    </row>
    <row r="15" spans="1:47" ht="35.450000000000003" customHeight="1" x14ac:dyDescent="0.25">
      <c r="A15" s="548"/>
      <c r="B15" s="559"/>
      <c r="C15" s="547"/>
      <c r="D15" s="547"/>
      <c r="E15" s="547"/>
      <c r="F15" s="547"/>
      <c r="G15" s="547"/>
      <c r="H15" s="547"/>
      <c r="I15" s="547"/>
      <c r="J15" s="547"/>
      <c r="K15" s="547"/>
      <c r="L15" s="547"/>
      <c r="M15" s="547"/>
      <c r="N15" s="547"/>
      <c r="O15" s="547"/>
      <c r="P15" s="547"/>
      <c r="Q15" s="547"/>
      <c r="R15" s="547"/>
      <c r="S15" s="546"/>
      <c r="T15" s="546"/>
      <c r="U15" s="546"/>
      <c r="V15" s="547"/>
      <c r="W15" s="546"/>
    </row>
    <row r="16" spans="1:47" ht="35.450000000000003" customHeight="1" x14ac:dyDescent="0.25">
      <c r="A16" s="548"/>
      <c r="B16" s="547"/>
      <c r="C16" s="547"/>
      <c r="D16" s="547"/>
      <c r="E16" s="547"/>
      <c r="F16" s="547"/>
      <c r="G16" s="547"/>
      <c r="H16" s="547"/>
      <c r="I16" s="547"/>
      <c r="J16" s="547"/>
      <c r="K16" s="547"/>
      <c r="L16" s="547"/>
      <c r="M16" s="547"/>
      <c r="N16" s="547"/>
      <c r="O16" s="547"/>
      <c r="P16" s="547"/>
      <c r="Q16" s="547"/>
      <c r="R16" s="547"/>
      <c r="S16" s="546"/>
      <c r="T16" s="546"/>
      <c r="U16" s="546"/>
      <c r="V16" s="547"/>
      <c r="W16" s="546"/>
    </row>
    <row r="17" spans="1:23" ht="35.450000000000003" customHeight="1" x14ac:dyDescent="0.25">
      <c r="A17" s="548"/>
      <c r="B17" s="547"/>
      <c r="C17" s="547"/>
      <c r="D17" s="547"/>
      <c r="E17" s="547"/>
      <c r="F17" s="547"/>
      <c r="G17" s="547"/>
      <c r="H17" s="547"/>
      <c r="I17" s="547"/>
      <c r="J17" s="547"/>
      <c r="K17" s="547"/>
      <c r="L17" s="547"/>
      <c r="M17" s="547"/>
      <c r="N17" s="547"/>
      <c r="O17" s="547"/>
      <c r="P17" s="547"/>
      <c r="Q17" s="547"/>
      <c r="R17" s="547"/>
      <c r="S17" s="546"/>
      <c r="T17" s="546"/>
      <c r="U17" s="546"/>
      <c r="V17" s="547"/>
      <c r="W17" s="546"/>
    </row>
    <row r="18" spans="1:23" ht="35.450000000000003" customHeight="1" x14ac:dyDescent="0.25">
      <c r="A18" s="548"/>
      <c r="B18" s="547"/>
      <c r="C18" s="547"/>
      <c r="D18" s="547"/>
      <c r="E18" s="547"/>
      <c r="F18" s="547"/>
      <c r="G18" s="547"/>
      <c r="H18" s="547"/>
      <c r="I18" s="547"/>
      <c r="J18" s="547"/>
      <c r="K18" s="547"/>
      <c r="L18" s="547"/>
      <c r="M18" s="547"/>
      <c r="N18" s="547"/>
      <c r="O18" s="547"/>
      <c r="P18" s="547"/>
      <c r="Q18" s="547"/>
      <c r="R18" s="547"/>
      <c r="S18" s="546"/>
      <c r="T18" s="546"/>
      <c r="U18" s="546"/>
      <c r="V18" s="547"/>
      <c r="W18" s="546"/>
    </row>
    <row r="19" spans="1:23" ht="35.450000000000003" customHeight="1" x14ac:dyDescent="0.25">
      <c r="A19" s="548"/>
      <c r="B19" s="547"/>
      <c r="C19" s="547"/>
      <c r="D19" s="547"/>
      <c r="E19" s="547"/>
      <c r="F19" s="547"/>
      <c r="G19" s="547"/>
      <c r="H19" s="547"/>
      <c r="I19" s="547"/>
      <c r="J19" s="547"/>
      <c r="K19" s="547"/>
      <c r="L19" s="547"/>
      <c r="M19" s="547"/>
      <c r="N19" s="547"/>
      <c r="O19" s="547"/>
      <c r="P19" s="547"/>
      <c r="Q19" s="547"/>
      <c r="R19" s="547"/>
      <c r="S19" s="546"/>
      <c r="T19" s="546"/>
      <c r="U19" s="546"/>
      <c r="V19" s="547"/>
      <c r="W19" s="546"/>
    </row>
    <row r="20" spans="1:23" ht="35.450000000000003" customHeight="1" x14ac:dyDescent="0.25">
      <c r="A20" s="548"/>
      <c r="B20" s="547"/>
      <c r="C20" s="547"/>
      <c r="D20" s="547"/>
      <c r="E20" s="547"/>
      <c r="F20" s="547"/>
      <c r="G20" s="547"/>
      <c r="H20" s="547"/>
      <c r="I20" s="547"/>
      <c r="J20" s="547"/>
      <c r="K20" s="547"/>
      <c r="L20" s="547"/>
      <c r="M20" s="547"/>
      <c r="N20" s="547"/>
      <c r="O20" s="547"/>
      <c r="P20" s="547"/>
      <c r="Q20" s="547"/>
      <c r="R20" s="547"/>
      <c r="S20" s="546"/>
      <c r="T20" s="546"/>
      <c r="U20" s="546"/>
      <c r="V20" s="547"/>
      <c r="W20" s="546"/>
    </row>
    <row r="21" spans="1:23" ht="35.450000000000003" customHeight="1" x14ac:dyDescent="0.25">
      <c r="A21" s="548"/>
      <c r="B21" s="547"/>
      <c r="C21" s="547"/>
      <c r="D21" s="547"/>
      <c r="E21" s="547"/>
      <c r="F21" s="547"/>
      <c r="G21" s="547"/>
      <c r="H21" s="547"/>
      <c r="I21" s="547"/>
      <c r="J21" s="547"/>
      <c r="K21" s="547"/>
      <c r="L21" s="547"/>
      <c r="M21" s="547"/>
      <c r="N21" s="547"/>
      <c r="O21" s="547"/>
      <c r="P21" s="547"/>
      <c r="Q21" s="547"/>
      <c r="R21" s="547"/>
      <c r="S21" s="546"/>
      <c r="T21" s="546"/>
      <c r="U21" s="546"/>
      <c r="V21" s="547"/>
      <c r="W21" s="546"/>
    </row>
    <row r="22" spans="1:23" ht="35.450000000000003" customHeight="1" x14ac:dyDescent="0.25">
      <c r="A22" s="548"/>
      <c r="B22" s="547"/>
      <c r="C22" s="547"/>
      <c r="D22" s="547"/>
      <c r="E22" s="547"/>
      <c r="F22" s="547"/>
      <c r="G22" s="547"/>
      <c r="H22" s="547"/>
      <c r="I22" s="547"/>
      <c r="J22" s="547"/>
      <c r="K22" s="547"/>
      <c r="L22" s="547"/>
      <c r="M22" s="547"/>
      <c r="N22" s="547"/>
      <c r="O22" s="547"/>
      <c r="P22" s="547"/>
      <c r="Q22" s="547"/>
      <c r="R22" s="547"/>
      <c r="S22" s="546"/>
      <c r="T22" s="546"/>
      <c r="U22" s="546"/>
      <c r="V22" s="547"/>
      <c r="W22" s="546"/>
    </row>
    <row r="23" spans="1:23" ht="35.450000000000003" customHeight="1" x14ac:dyDescent="0.25">
      <c r="A23" s="548"/>
      <c r="B23" s="547"/>
      <c r="C23" s="547"/>
      <c r="D23" s="547"/>
      <c r="E23" s="547"/>
      <c r="F23" s="547"/>
      <c r="G23" s="547"/>
      <c r="H23" s="547"/>
      <c r="I23" s="547"/>
      <c r="J23" s="547"/>
      <c r="K23" s="547"/>
      <c r="L23" s="547"/>
      <c r="M23" s="547"/>
      <c r="N23" s="547"/>
      <c r="O23" s="547"/>
      <c r="P23" s="547"/>
      <c r="Q23" s="547"/>
      <c r="R23" s="547"/>
      <c r="S23" s="546"/>
      <c r="T23" s="546"/>
      <c r="U23" s="546"/>
      <c r="V23" s="547"/>
      <c r="W23" s="546"/>
    </row>
    <row r="24" spans="1:23" ht="35.450000000000003" customHeight="1" x14ac:dyDescent="0.25">
      <c r="A24" s="548"/>
      <c r="B24" s="547"/>
      <c r="C24" s="547"/>
      <c r="D24" s="547"/>
      <c r="E24" s="547"/>
      <c r="F24" s="547"/>
      <c r="G24" s="547"/>
      <c r="H24" s="547"/>
      <c r="I24" s="547"/>
      <c r="J24" s="547"/>
      <c r="K24" s="547"/>
      <c r="L24" s="547"/>
      <c r="M24" s="547"/>
      <c r="N24" s="547"/>
      <c r="O24" s="547"/>
      <c r="P24" s="547"/>
      <c r="Q24" s="547"/>
      <c r="R24" s="547"/>
      <c r="S24" s="546"/>
      <c r="T24" s="546"/>
      <c r="U24" s="546"/>
      <c r="V24" s="547"/>
      <c r="W24" s="546"/>
    </row>
    <row r="25" spans="1:23" ht="35.450000000000003" customHeight="1" x14ac:dyDescent="0.25">
      <c r="A25" s="548"/>
      <c r="B25" s="547"/>
      <c r="C25" s="547"/>
      <c r="D25" s="547"/>
      <c r="E25" s="547"/>
      <c r="F25" s="547"/>
      <c r="G25" s="547"/>
      <c r="H25" s="547"/>
      <c r="I25" s="547"/>
      <c r="J25" s="547"/>
      <c r="K25" s="547"/>
      <c r="L25" s="547"/>
      <c r="M25" s="547"/>
      <c r="N25" s="547"/>
      <c r="O25" s="547"/>
      <c r="P25" s="547"/>
      <c r="Q25" s="547"/>
      <c r="R25" s="547"/>
      <c r="S25" s="546"/>
      <c r="T25" s="546"/>
      <c r="U25" s="546"/>
      <c r="V25" s="547"/>
      <c r="W25" s="546"/>
    </row>
    <row r="26" spans="1:23" ht="35.450000000000003" customHeight="1" x14ac:dyDescent="0.25">
      <c r="A26" s="548"/>
      <c r="B26" s="547"/>
      <c r="C26" s="547"/>
      <c r="D26" s="547"/>
      <c r="E26" s="547"/>
      <c r="F26" s="547"/>
      <c r="G26" s="547"/>
      <c r="H26" s="547"/>
      <c r="I26" s="547"/>
      <c r="J26" s="547"/>
      <c r="K26" s="547"/>
      <c r="L26" s="547"/>
      <c r="M26" s="547"/>
      <c r="N26" s="547"/>
      <c r="O26" s="547"/>
      <c r="P26" s="547"/>
      <c r="Q26" s="547"/>
      <c r="R26" s="547"/>
      <c r="S26" s="546"/>
      <c r="T26" s="546"/>
      <c r="U26" s="546"/>
      <c r="V26" s="547"/>
      <c r="W26" s="546"/>
    </row>
    <row r="27" spans="1:23" ht="35.450000000000003" customHeight="1" x14ac:dyDescent="0.25">
      <c r="A27" s="548"/>
      <c r="B27" s="547"/>
      <c r="C27" s="547"/>
      <c r="D27" s="547"/>
      <c r="E27" s="547"/>
      <c r="F27" s="547"/>
      <c r="G27" s="547"/>
      <c r="H27" s="547"/>
      <c r="I27" s="547"/>
      <c r="J27" s="547"/>
      <c r="K27" s="547"/>
      <c r="L27" s="547"/>
      <c r="M27" s="547"/>
      <c r="N27" s="547"/>
      <c r="O27" s="547"/>
      <c r="P27" s="547"/>
      <c r="Q27" s="547"/>
      <c r="R27" s="547"/>
      <c r="S27" s="546"/>
      <c r="T27" s="546"/>
      <c r="U27" s="546"/>
      <c r="V27" s="547"/>
      <c r="W27" s="546"/>
    </row>
    <row r="28" spans="1:23" ht="35.450000000000003" customHeight="1" x14ac:dyDescent="0.25">
      <c r="A28" s="548"/>
      <c r="B28" s="547"/>
      <c r="C28" s="547"/>
      <c r="D28" s="547"/>
      <c r="E28" s="547"/>
      <c r="F28" s="547"/>
      <c r="G28" s="547"/>
      <c r="H28" s="547"/>
      <c r="I28" s="547"/>
      <c r="J28" s="547"/>
      <c r="K28" s="547"/>
      <c r="L28" s="547"/>
      <c r="M28" s="547"/>
      <c r="N28" s="547"/>
      <c r="O28" s="547"/>
      <c r="P28" s="547"/>
      <c r="Q28" s="547"/>
      <c r="R28" s="547"/>
      <c r="S28" s="546"/>
      <c r="T28" s="546"/>
      <c r="U28" s="546"/>
      <c r="V28" s="547"/>
      <c r="W28" s="546"/>
    </row>
    <row r="29" spans="1:23" ht="35.450000000000003" customHeight="1" x14ac:dyDescent="0.25">
      <c r="A29" s="548"/>
      <c r="B29" s="547"/>
      <c r="C29" s="547"/>
      <c r="D29" s="547"/>
      <c r="E29" s="547"/>
      <c r="F29" s="547"/>
      <c r="G29" s="547"/>
      <c r="H29" s="547"/>
      <c r="I29" s="547"/>
      <c r="J29" s="547"/>
      <c r="K29" s="547"/>
      <c r="L29" s="547"/>
      <c r="M29" s="547"/>
      <c r="N29" s="547"/>
      <c r="O29" s="547"/>
      <c r="P29" s="547"/>
      <c r="Q29" s="547"/>
      <c r="R29" s="547"/>
      <c r="S29" s="546"/>
      <c r="T29" s="546"/>
      <c r="U29" s="546"/>
      <c r="V29" s="547"/>
      <c r="W29" s="546"/>
    </row>
    <row r="30" spans="1:23" ht="35.450000000000003" customHeight="1" x14ac:dyDescent="0.25">
      <c r="A30" s="548"/>
      <c r="B30" s="547"/>
      <c r="C30" s="547"/>
      <c r="D30" s="547"/>
      <c r="E30" s="547"/>
      <c r="F30" s="547"/>
      <c r="G30" s="547"/>
      <c r="H30" s="547"/>
      <c r="I30" s="547"/>
      <c r="J30" s="547"/>
      <c r="K30" s="547"/>
      <c r="L30" s="547"/>
      <c r="M30" s="547"/>
      <c r="N30" s="547"/>
      <c r="O30" s="547"/>
      <c r="P30" s="547"/>
      <c r="Q30" s="547"/>
      <c r="R30" s="547"/>
      <c r="S30" s="546"/>
      <c r="T30" s="546"/>
      <c r="U30" s="546"/>
      <c r="V30" s="547"/>
      <c r="W30" s="546"/>
    </row>
    <row r="31" spans="1:23" ht="35.450000000000003" customHeight="1" x14ac:dyDescent="0.25">
      <c r="A31" s="548"/>
      <c r="B31" s="547"/>
      <c r="C31" s="547"/>
      <c r="D31" s="547"/>
      <c r="E31" s="547"/>
      <c r="F31" s="547"/>
      <c r="G31" s="547"/>
      <c r="H31" s="547"/>
      <c r="I31" s="547"/>
      <c r="J31" s="547"/>
      <c r="K31" s="547"/>
      <c r="L31" s="547"/>
      <c r="M31" s="547"/>
      <c r="N31" s="547"/>
      <c r="O31" s="547"/>
      <c r="P31" s="547"/>
      <c r="Q31" s="547"/>
      <c r="R31" s="547"/>
      <c r="S31" s="546"/>
      <c r="T31" s="546"/>
      <c r="U31" s="546"/>
      <c r="V31" s="547"/>
      <c r="W31" s="546"/>
    </row>
    <row r="32" spans="1:23" ht="35.450000000000003" customHeight="1" x14ac:dyDescent="0.25">
      <c r="A32" s="548"/>
      <c r="B32" s="547"/>
      <c r="C32" s="547"/>
      <c r="D32" s="547"/>
      <c r="E32" s="547"/>
      <c r="F32" s="547"/>
      <c r="G32" s="547"/>
      <c r="H32" s="547"/>
      <c r="I32" s="547"/>
      <c r="J32" s="547"/>
      <c r="K32" s="547"/>
      <c r="L32" s="547"/>
      <c r="M32" s="547"/>
      <c r="N32" s="547"/>
      <c r="O32" s="547"/>
      <c r="P32" s="547"/>
      <c r="Q32" s="547"/>
      <c r="R32" s="547"/>
      <c r="S32" s="546"/>
      <c r="T32" s="546"/>
      <c r="U32" s="546"/>
      <c r="V32" s="547"/>
      <c r="W32" s="546"/>
    </row>
    <row r="33" spans="1:23" ht="35.450000000000003" customHeight="1" x14ac:dyDescent="0.25">
      <c r="A33" s="548"/>
      <c r="B33" s="547"/>
      <c r="C33" s="547"/>
      <c r="D33" s="547"/>
      <c r="E33" s="547"/>
      <c r="F33" s="547"/>
      <c r="G33" s="547"/>
      <c r="H33" s="547"/>
      <c r="I33" s="547"/>
      <c r="J33" s="547"/>
      <c r="K33" s="547"/>
      <c r="L33" s="547"/>
      <c r="M33" s="547"/>
      <c r="N33" s="547"/>
      <c r="O33" s="547"/>
      <c r="P33" s="547"/>
      <c r="Q33" s="547"/>
      <c r="R33" s="547"/>
      <c r="S33" s="546"/>
      <c r="T33" s="546"/>
      <c r="U33" s="546"/>
      <c r="V33" s="547"/>
      <c r="W33" s="546"/>
    </row>
    <row r="34" spans="1:23" ht="35.450000000000003" customHeight="1" x14ac:dyDescent="0.25">
      <c r="A34" s="548"/>
      <c r="B34" s="547"/>
      <c r="C34" s="547"/>
      <c r="D34" s="547"/>
      <c r="E34" s="547"/>
      <c r="F34" s="547"/>
      <c r="G34" s="547"/>
      <c r="H34" s="547"/>
      <c r="I34" s="547"/>
      <c r="J34" s="547"/>
      <c r="K34" s="547"/>
      <c r="L34" s="547"/>
      <c r="M34" s="547"/>
      <c r="N34" s="547"/>
      <c r="O34" s="547"/>
      <c r="P34" s="547"/>
      <c r="Q34" s="547"/>
      <c r="R34" s="547"/>
      <c r="S34" s="546"/>
      <c r="T34" s="546"/>
      <c r="U34" s="546"/>
      <c r="V34" s="547"/>
      <c r="W34" s="546"/>
    </row>
    <row r="35" spans="1:23" ht="35.450000000000003" customHeight="1" x14ac:dyDescent="0.25">
      <c r="A35" s="548"/>
      <c r="B35" s="547"/>
      <c r="C35" s="547"/>
      <c r="D35" s="547"/>
      <c r="E35" s="547"/>
      <c r="F35" s="547"/>
      <c r="G35" s="547"/>
      <c r="H35" s="547"/>
      <c r="I35" s="547"/>
      <c r="J35" s="547"/>
      <c r="K35" s="547"/>
      <c r="L35" s="547"/>
      <c r="M35" s="547"/>
      <c r="N35" s="547"/>
      <c r="O35" s="547"/>
      <c r="P35" s="547"/>
      <c r="Q35" s="547"/>
      <c r="R35" s="547"/>
      <c r="S35" s="546"/>
      <c r="T35" s="546"/>
      <c r="U35" s="546"/>
      <c r="V35" s="547"/>
      <c r="W35" s="546"/>
    </row>
    <row r="36" spans="1:23" ht="35.450000000000003" customHeight="1" x14ac:dyDescent="0.25">
      <c r="A36" s="548"/>
      <c r="B36" s="547"/>
      <c r="C36" s="547"/>
      <c r="D36" s="547"/>
      <c r="E36" s="547"/>
      <c r="F36" s="547"/>
      <c r="G36" s="547"/>
      <c r="H36" s="547"/>
      <c r="I36" s="547"/>
      <c r="J36" s="547"/>
      <c r="K36" s="547"/>
      <c r="L36" s="547"/>
      <c r="M36" s="547"/>
      <c r="N36" s="547"/>
      <c r="O36" s="547"/>
      <c r="P36" s="547"/>
      <c r="Q36" s="547"/>
      <c r="R36" s="547"/>
      <c r="S36" s="546"/>
      <c r="T36" s="546"/>
      <c r="U36" s="546"/>
      <c r="V36" s="547"/>
      <c r="W36" s="546"/>
    </row>
    <row r="37" spans="1:23" ht="35.450000000000003" customHeight="1" x14ac:dyDescent="0.25">
      <c r="A37" s="548"/>
      <c r="B37" s="547"/>
      <c r="C37" s="547"/>
      <c r="D37" s="547"/>
      <c r="E37" s="547"/>
      <c r="F37" s="547"/>
      <c r="G37" s="547"/>
      <c r="H37" s="547"/>
      <c r="I37" s="547"/>
      <c r="J37" s="547"/>
      <c r="K37" s="547"/>
      <c r="L37" s="547"/>
      <c r="M37" s="547"/>
      <c r="N37" s="547"/>
      <c r="O37" s="547"/>
      <c r="P37" s="547"/>
      <c r="Q37" s="547"/>
      <c r="R37" s="547"/>
      <c r="S37" s="546"/>
      <c r="T37" s="546"/>
      <c r="U37" s="546"/>
      <c r="V37" s="547"/>
      <c r="W37" s="546"/>
    </row>
    <row r="38" spans="1:23" ht="35.450000000000003" customHeight="1" x14ac:dyDescent="0.25">
      <c r="A38" s="548"/>
      <c r="B38" s="547"/>
      <c r="C38" s="547"/>
      <c r="D38" s="547"/>
      <c r="E38" s="547"/>
      <c r="F38" s="547"/>
      <c r="G38" s="547"/>
      <c r="H38" s="547"/>
      <c r="I38" s="547"/>
      <c r="J38" s="547"/>
      <c r="K38" s="547"/>
      <c r="L38" s="547"/>
      <c r="M38" s="547"/>
      <c r="N38" s="547"/>
      <c r="O38" s="547"/>
      <c r="P38" s="547"/>
      <c r="Q38" s="547"/>
      <c r="R38" s="547"/>
      <c r="S38" s="546"/>
      <c r="T38" s="546"/>
      <c r="U38" s="546"/>
      <c r="V38" s="547"/>
      <c r="W38" s="546"/>
    </row>
  </sheetData>
  <pageMargins left="0.7" right="0.7" top="0.75" bottom="0.75" header="0.3" footer="0.3"/>
  <pageSetup paperSize="9" orientation="portrait" horizontalDpi="0" verticalDpi="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V432"/>
  <sheetViews>
    <sheetView tabSelected="1" showWhiteSpace="0" topLeftCell="F2" zoomScaleNormal="100" workbookViewId="0">
      <selection activeCell="V9" sqref="V9"/>
    </sheetView>
  </sheetViews>
  <sheetFormatPr defaultColWidth="8.875" defaultRowHeight="15" x14ac:dyDescent="0.25"/>
  <cols>
    <col min="1" max="1" width="5.25" customWidth="1"/>
    <col min="2" max="2" width="9" customWidth="1"/>
    <col min="3" max="4" width="9.125" customWidth="1"/>
    <col min="5" max="5" width="9.25" customWidth="1"/>
    <col min="6" max="6" width="9.375" customWidth="1"/>
    <col min="10" max="10" width="9.375" bestFit="1" customWidth="1"/>
    <col min="11" max="11" width="9.875" customWidth="1"/>
    <col min="12" max="12" width="11.375" customWidth="1"/>
    <col min="13" max="13" width="10.25" customWidth="1"/>
    <col min="15" max="15" width="9.375" bestFit="1" customWidth="1"/>
    <col min="16" max="16" width="8" customWidth="1"/>
    <col min="18" max="18" width="10.375" customWidth="1"/>
    <col min="19" max="19" width="10" customWidth="1"/>
    <col min="20" max="20" width="9.125" customWidth="1"/>
    <col min="21" max="21" width="12.75" customWidth="1"/>
    <col min="22" max="22" width="15.375" customWidth="1"/>
    <col min="23" max="23" width="13.875" customWidth="1"/>
    <col min="24" max="24" width="11.875" customWidth="1"/>
    <col min="25" max="25" width="11.125" customWidth="1"/>
    <col min="26" max="26" width="10.75" customWidth="1"/>
    <col min="27" max="27" width="11.75" customWidth="1"/>
    <col min="28" max="28" width="11.375" customWidth="1"/>
    <col min="29" max="29" width="12" customWidth="1"/>
    <col min="30" max="30" width="12.375" customWidth="1"/>
    <col min="31" max="31" width="10.75" customWidth="1"/>
    <col min="37" max="37" width="11.875" customWidth="1"/>
    <col min="38" max="38" width="11.75" customWidth="1"/>
    <col min="39" max="39" width="12" customWidth="1"/>
    <col min="40" max="40" width="10.25" customWidth="1"/>
    <col min="41" max="41" width="9.375" customWidth="1"/>
    <col min="44" max="44" width="12.125" customWidth="1"/>
    <col min="48" max="48" width="10.125" customWidth="1"/>
    <col min="52" max="52" width="9.25" customWidth="1"/>
    <col min="53" max="61" width="9.125" hidden="1" customWidth="1"/>
  </cols>
  <sheetData>
    <row r="1" spans="1:74" x14ac:dyDescent="0.25">
      <c r="X1">
        <f>VALUE(IF(DOB_Day &lt; 10, "0", MID(DOB_Day,1,1)))</f>
        <v>2</v>
      </c>
      <c r="Y1">
        <f>VALUE(IF(DOB_Day &lt; 10, DOB_Day, MID(DOB_Day,2,1)))</f>
        <v>6</v>
      </c>
      <c r="Z1">
        <f>VALUE(IF(DOB_Month &lt; 10, "0", MID(DOB_Month,1,1)))</f>
        <v>0</v>
      </c>
      <c r="AA1">
        <f>VALUE(IF(DOB_Month &lt; 10, DOB_Month, MID(DOB_Month,2,1)))</f>
        <v>7</v>
      </c>
      <c r="AB1">
        <f>VALUE(MID(DOB_Year,1,1))</f>
        <v>1</v>
      </c>
      <c r="AC1">
        <f>VALUE(MID(DOB_Year,2,1))</f>
        <v>9</v>
      </c>
      <c r="AD1">
        <f>VALUE(MID(DOB_Year,3,1))</f>
        <v>8</v>
      </c>
      <c r="AE1">
        <f>VALUE(MID(DOB_Year,4,1))</f>
        <v>9</v>
      </c>
    </row>
    <row r="2" spans="1:74" ht="21.75" thickBot="1" x14ac:dyDescent="0.4">
      <c r="U2" s="66" t="s">
        <v>2</v>
      </c>
      <c r="V2" s="83">
        <f>DATE(DOB_Year,DOB_Month,DOB_Day)</f>
        <v>32715</v>
      </c>
      <c r="W2" s="308" t="s">
        <v>697</v>
      </c>
      <c r="X2" s="778" t="s">
        <v>817</v>
      </c>
      <c r="Y2" s="778"/>
      <c r="Z2" s="778"/>
      <c r="AA2" s="778"/>
      <c r="AB2" s="778"/>
      <c r="AC2" s="778"/>
      <c r="AD2" s="778"/>
      <c r="AE2" s="778"/>
      <c r="AF2" s="778"/>
      <c r="AG2" s="778"/>
      <c r="AH2" s="778"/>
      <c r="AJ2" s="777" t="s">
        <v>811</v>
      </c>
      <c r="AK2" s="777"/>
      <c r="AL2" s="777"/>
      <c r="AM2" s="777"/>
      <c r="AN2" s="777"/>
    </row>
    <row r="3" spans="1:74" ht="30.75" customHeight="1" x14ac:dyDescent="0.45">
      <c r="J3" s="732" t="s">
        <v>0</v>
      </c>
      <c r="K3" s="732"/>
      <c r="L3" s="732"/>
      <c r="M3" s="732"/>
      <c r="N3" s="732"/>
      <c r="O3" s="1" t="s">
        <v>1</v>
      </c>
      <c r="U3" t="s">
        <v>233</v>
      </c>
      <c r="V3" s="569" t="s">
        <v>1124</v>
      </c>
      <c r="W3" s="309">
        <f>numberto22(ConvertLettersToNumber(LastName,Alphabet))</f>
        <v>4</v>
      </c>
      <c r="X3" s="257" t="s">
        <v>245</v>
      </c>
      <c r="Y3" s="257" t="s">
        <v>49</v>
      </c>
      <c r="Z3" s="257" t="s">
        <v>242</v>
      </c>
      <c r="AA3" s="258" t="s">
        <v>243</v>
      </c>
      <c r="AB3" s="779" t="s">
        <v>631</v>
      </c>
      <c r="AC3" s="780"/>
      <c r="AD3" s="417"/>
      <c r="AE3" s="418" t="s">
        <v>632</v>
      </c>
      <c r="AF3" s="419"/>
      <c r="AG3" s="419"/>
      <c r="AH3" s="420"/>
      <c r="AI3" s="326"/>
      <c r="AJ3" s="751" t="s">
        <v>812</v>
      </c>
      <c r="AK3" s="752"/>
      <c r="AL3" s="753" t="s">
        <v>813</v>
      </c>
      <c r="AM3" s="754"/>
      <c r="AN3" s="519" t="s">
        <v>815</v>
      </c>
      <c r="AQ3" s="641" t="s">
        <v>276</v>
      </c>
      <c r="AR3" s="643" t="s">
        <v>304</v>
      </c>
      <c r="AS3" s="644"/>
      <c r="AT3" s="644"/>
      <c r="AU3" s="645"/>
      <c r="AV3" s="633" t="s">
        <v>315</v>
      </c>
      <c r="AW3" s="634"/>
      <c r="AX3" s="635"/>
      <c r="BA3" s="641" t="s">
        <v>498</v>
      </c>
      <c r="BB3" s="643" t="s">
        <v>499</v>
      </c>
      <c r="BC3" s="644"/>
      <c r="BD3" s="644"/>
      <c r="BE3" s="645"/>
      <c r="BF3" s="633" t="s">
        <v>504</v>
      </c>
      <c r="BG3" s="634"/>
      <c r="BH3" s="635"/>
    </row>
    <row r="4" spans="1:74" ht="15.75" thickBot="1" x14ac:dyDescent="0.3">
      <c r="U4" t="s">
        <v>224</v>
      </c>
      <c r="V4" s="570" t="s">
        <v>1123</v>
      </c>
      <c r="W4" s="313">
        <f>numberto22(ConvertLettersToNumber(FirstName,Alphabet))</f>
        <v>2</v>
      </c>
      <c r="X4" s="399">
        <f>numberto22(ConvertLettersToNumber(FirstName,Alphabet))</f>
        <v>2</v>
      </c>
      <c r="Y4" s="399">
        <f>numberto22(TaroDay+TaroMonth+TaroYear)</f>
        <v>16</v>
      </c>
      <c r="Z4" s="255">
        <f>WorkNum_2</f>
        <v>6</v>
      </c>
      <c r="AA4" s="260" t="str">
        <f>KarmahoroscopeRU(DOB)</f>
        <v>ВОДОЛЕЙ</v>
      </c>
      <c r="AB4" s="272" t="s">
        <v>629</v>
      </c>
      <c r="AC4" s="421" t="s">
        <v>630</v>
      </c>
      <c r="AD4" s="220" t="s">
        <v>223</v>
      </c>
      <c r="AE4" s="269" t="s">
        <v>633</v>
      </c>
      <c r="AF4" s="254" t="s">
        <v>634</v>
      </c>
      <c r="AG4" s="254" t="s">
        <v>172</v>
      </c>
      <c r="AH4" s="270" t="s">
        <v>636</v>
      </c>
      <c r="AJ4" s="512" t="s">
        <v>46</v>
      </c>
      <c r="AK4" s="513">
        <f>OPV</f>
        <v>3</v>
      </c>
      <c r="AL4" s="516" t="s">
        <v>49</v>
      </c>
      <c r="AM4" s="515">
        <f>CoZ</f>
        <v>16</v>
      </c>
      <c r="AN4" s="520">
        <f>KN_4</f>
        <v>2</v>
      </c>
      <c r="AQ4" s="591"/>
      <c r="AR4" s="225" t="s">
        <v>277</v>
      </c>
      <c r="AS4" s="225" t="s">
        <v>278</v>
      </c>
      <c r="AT4" s="225" t="s">
        <v>279</v>
      </c>
      <c r="AU4" s="225" t="s">
        <v>280</v>
      </c>
      <c r="AV4" s="636"/>
      <c r="AW4" s="637"/>
      <c r="AX4" s="638"/>
      <c r="BA4" s="591"/>
      <c r="BB4" s="225" t="s">
        <v>277</v>
      </c>
      <c r="BC4" s="225" t="s">
        <v>278</v>
      </c>
      <c r="BD4" s="225" t="s">
        <v>279</v>
      </c>
      <c r="BE4" s="225" t="s">
        <v>280</v>
      </c>
      <c r="BF4" s="636"/>
      <c r="BG4" s="637"/>
      <c r="BH4" s="638"/>
      <c r="BL4">
        <v>0</v>
      </c>
      <c r="BM4">
        <v>1</v>
      </c>
      <c r="BN4">
        <v>2</v>
      </c>
      <c r="BO4">
        <v>3</v>
      </c>
      <c r="BP4">
        <v>4</v>
      </c>
      <c r="BQ4">
        <v>5</v>
      </c>
      <c r="BT4">
        <f>DOB_Year</f>
        <v>1989</v>
      </c>
      <c r="BU4">
        <v>0</v>
      </c>
      <c r="BV4" t="s">
        <v>182</v>
      </c>
    </row>
    <row r="5" spans="1:74" ht="18.75" thickBot="1" x14ac:dyDescent="0.4">
      <c r="U5" t="s">
        <v>234</v>
      </c>
      <c r="V5" s="571" t="s">
        <v>1125</v>
      </c>
      <c r="W5" s="313">
        <f>numberto22(ConvertLettersToNumber(MiddleName,Alphabet))</f>
        <v>22</v>
      </c>
      <c r="X5" s="415" t="s">
        <v>720</v>
      </c>
      <c r="Y5" s="400">
        <f>numberto22(ConsonantsToNumber(FirstName,Alphabet,Volwels))</f>
        <v>5</v>
      </c>
      <c r="Z5" s="397" t="s">
        <v>415</v>
      </c>
      <c r="AA5" s="261" t="s">
        <v>414</v>
      </c>
      <c r="AB5" s="62" t="s">
        <v>246</v>
      </c>
      <c r="AC5" s="213">
        <f>CalculateRod(V15,V16,0,Alphabet)</f>
        <v>3</v>
      </c>
      <c r="AD5" s="275">
        <f>COUNTIF($Y$25:$AG$25,AC5)</f>
        <v>1</v>
      </c>
      <c r="AE5" s="262">
        <f>IF(55-(2*DOB_Month+DOB_Day)=0, 53,55-(2*DOB_Month+DOB_Day))</f>
        <v>15</v>
      </c>
      <c r="AF5" s="256">
        <v>1</v>
      </c>
      <c r="AG5" s="213">
        <f>MAX(AB21:AG21)</f>
        <v>2</v>
      </c>
      <c r="AH5" s="263">
        <f>RetrogradeCalc(AE5,AF5,AG5)</f>
        <v>41</v>
      </c>
      <c r="AI5" s="327"/>
      <c r="AJ5" s="514" t="s">
        <v>816</v>
      </c>
      <c r="AK5" s="515">
        <f>OPV_DOP</f>
        <v>0</v>
      </c>
      <c r="AL5" s="516" t="s">
        <v>814</v>
      </c>
      <c r="AM5" s="515">
        <f>numberto22(Z4+V24)</f>
        <v>11</v>
      </c>
      <c r="AN5" s="521"/>
      <c r="AQ5" s="642"/>
      <c r="AR5" s="225" t="s">
        <v>281</v>
      </c>
      <c r="AS5" s="225" t="s">
        <v>282</v>
      </c>
      <c r="AT5" s="225" t="s">
        <v>283</v>
      </c>
      <c r="AU5" s="225" t="s">
        <v>284</v>
      </c>
      <c r="AV5" s="639" t="s">
        <v>285</v>
      </c>
      <c r="AW5" s="640"/>
      <c r="AX5" s="226" t="s">
        <v>286</v>
      </c>
      <c r="BA5" s="642"/>
      <c r="BB5" s="225" t="s">
        <v>500</v>
      </c>
      <c r="BC5" s="225" t="s">
        <v>501</v>
      </c>
      <c r="BD5" s="225" t="s">
        <v>502</v>
      </c>
      <c r="BE5" s="225" t="s">
        <v>503</v>
      </c>
      <c r="BF5" s="639" t="s">
        <v>505</v>
      </c>
      <c r="BG5" s="640"/>
      <c r="BH5" s="237" t="s">
        <v>506</v>
      </c>
      <c r="BL5">
        <f>DOB_Year</f>
        <v>1989</v>
      </c>
      <c r="BM5">
        <f>$BL$5+BM4</f>
        <v>1990</v>
      </c>
      <c r="BN5">
        <f>$BL$5+BN4</f>
        <v>1991</v>
      </c>
      <c r="BO5">
        <f>$BL$5+BO4</f>
        <v>1992</v>
      </c>
      <c r="BP5">
        <f>$BL$5+BP4</f>
        <v>1993</v>
      </c>
      <c r="BQ5">
        <f>$BL$5+BQ4</f>
        <v>1994</v>
      </c>
      <c r="BT5">
        <f>BT4+1</f>
        <v>1990</v>
      </c>
      <c r="BU5">
        <v>1</v>
      </c>
      <c r="BV5" t="s">
        <v>182</v>
      </c>
    </row>
    <row r="6" spans="1:74" ht="15.75" thickBot="1" x14ac:dyDescent="0.3">
      <c r="U6" t="s">
        <v>3</v>
      </c>
      <c r="V6" s="572">
        <v>26</v>
      </c>
      <c r="W6" t="str">
        <f>CONCATENATE(DOB_Day,DOB_Month,DOB_Year)</f>
        <v>2671989</v>
      </c>
      <c r="X6" s="415" t="s">
        <v>721</v>
      </c>
      <c r="Y6" s="400">
        <f>numberto22(VowelsToNumber(FirstName,Alphabet,Volwels))</f>
        <v>19</v>
      </c>
      <c r="Z6" s="398">
        <f>NumberTo9(SumNumbers(W6))</f>
        <v>6</v>
      </c>
      <c r="AA6" s="259" t="str">
        <f>KarmaDiseaseHoroscopeRU(DOB)</f>
        <v>ВЕСЫ</v>
      </c>
      <c r="AB6" s="16" t="s">
        <v>247</v>
      </c>
      <c r="AC6" s="94">
        <f>CalculateRod(V15,V16,1,Alphabet)</f>
        <v>4</v>
      </c>
      <c r="AD6" s="276">
        <f>COUNTIF($Y$25:$AG$25,AC6)</f>
        <v>0</v>
      </c>
      <c r="AE6" s="264"/>
      <c r="AF6" s="17"/>
      <c r="AG6" s="17"/>
      <c r="AH6" s="18"/>
      <c r="AI6" s="310"/>
      <c r="AJ6" s="16"/>
      <c r="AK6" s="18"/>
      <c r="AL6" s="517" t="s">
        <v>243</v>
      </c>
      <c r="AM6" s="518" t="str">
        <f>AA4</f>
        <v>ВОДОЛЕЙ</v>
      </c>
      <c r="AN6" s="522"/>
      <c r="AQ6" s="228">
        <v>1</v>
      </c>
      <c r="AR6" s="229">
        <v>1</v>
      </c>
      <c r="AS6" s="229">
        <v>14</v>
      </c>
      <c r="AT6" s="229">
        <v>27</v>
      </c>
      <c r="AU6" s="229">
        <v>40</v>
      </c>
      <c r="AV6" s="582" t="s">
        <v>287</v>
      </c>
      <c r="AW6" s="583"/>
      <c r="AX6" s="584" t="s">
        <v>305</v>
      </c>
      <c r="BA6" s="228">
        <v>1</v>
      </c>
      <c r="BB6" s="229">
        <v>1</v>
      </c>
      <c r="BC6" s="229">
        <v>14</v>
      </c>
      <c r="BD6" s="229">
        <v>27</v>
      </c>
      <c r="BE6" s="229">
        <v>40</v>
      </c>
      <c r="BF6" s="582" t="s">
        <v>507</v>
      </c>
      <c r="BG6" s="583"/>
      <c r="BH6" s="584" t="s">
        <v>529</v>
      </c>
      <c r="BL6">
        <f t="shared" ref="BL6:BL23" si="0">BQ5+1</f>
        <v>1995</v>
      </c>
      <c r="BM6">
        <f t="shared" ref="BM6:BM23" si="1">BL6+1</f>
        <v>1996</v>
      </c>
      <c r="BN6">
        <f t="shared" ref="BN6:BQ6" si="2">BM6+1</f>
        <v>1997</v>
      </c>
      <c r="BO6">
        <f t="shared" si="2"/>
        <v>1998</v>
      </c>
      <c r="BP6">
        <f t="shared" si="2"/>
        <v>1999</v>
      </c>
      <c r="BQ6">
        <f t="shared" si="2"/>
        <v>2000</v>
      </c>
      <c r="BT6">
        <f t="shared" ref="BT6:BT70" si="3">BT5+1</f>
        <v>1991</v>
      </c>
      <c r="BU6">
        <v>2</v>
      </c>
      <c r="BV6" t="s">
        <v>182</v>
      </c>
    </row>
    <row r="7" spans="1:74" x14ac:dyDescent="0.25">
      <c r="A7" s="1"/>
      <c r="B7" s="1"/>
      <c r="C7" s="1"/>
      <c r="D7" s="1"/>
      <c r="E7" s="1"/>
      <c r="F7" s="1"/>
      <c r="G7" s="1"/>
      <c r="H7" s="1"/>
      <c r="I7" s="1"/>
      <c r="J7" s="1"/>
      <c r="K7" s="1"/>
      <c r="L7" s="87" t="s">
        <v>10</v>
      </c>
      <c r="M7" s="1"/>
      <c r="N7" s="1"/>
      <c r="O7" s="1"/>
      <c r="P7" s="1"/>
      <c r="Q7" s="1"/>
      <c r="R7" s="1"/>
      <c r="S7" s="1"/>
      <c r="U7" t="s">
        <v>11</v>
      </c>
      <c r="V7" s="573">
        <v>7</v>
      </c>
      <c r="X7" s="429" t="s">
        <v>741</v>
      </c>
      <c r="Y7" s="430">
        <f>ABS(numberto22(TaroDay+TaroMonth-TaroYear+TaroName))</f>
        <v>8</v>
      </c>
      <c r="AE7" s="163" t="s">
        <v>248</v>
      </c>
      <c r="AI7" s="65"/>
      <c r="AQ7" s="228">
        <v>2</v>
      </c>
      <c r="AR7" s="229">
        <v>2</v>
      </c>
      <c r="AS7" s="229">
        <v>15</v>
      </c>
      <c r="AT7" s="229">
        <v>28</v>
      </c>
      <c r="AU7" s="229">
        <v>41</v>
      </c>
      <c r="AV7" s="582" t="s">
        <v>288</v>
      </c>
      <c r="AW7" s="583"/>
      <c r="AX7" s="585"/>
      <c r="BA7" s="228">
        <v>2</v>
      </c>
      <c r="BB7" s="229">
        <v>2</v>
      </c>
      <c r="BC7" s="229">
        <v>15</v>
      </c>
      <c r="BD7" s="229">
        <v>28</v>
      </c>
      <c r="BE7" s="229">
        <v>41</v>
      </c>
      <c r="BF7" s="582" t="s">
        <v>508</v>
      </c>
      <c r="BG7" s="583"/>
      <c r="BH7" s="585"/>
      <c r="BL7">
        <f t="shared" si="0"/>
        <v>2001</v>
      </c>
      <c r="BM7">
        <f t="shared" si="1"/>
        <v>2002</v>
      </c>
      <c r="BN7">
        <f t="shared" ref="BN7:BQ23" si="4">BM7+1</f>
        <v>2003</v>
      </c>
      <c r="BO7">
        <f t="shared" si="4"/>
        <v>2004</v>
      </c>
      <c r="BP7">
        <f t="shared" si="4"/>
        <v>2005</v>
      </c>
      <c r="BQ7">
        <f t="shared" si="4"/>
        <v>2006</v>
      </c>
      <c r="BT7">
        <f t="shared" si="3"/>
        <v>1992</v>
      </c>
      <c r="BU7">
        <v>3</v>
      </c>
      <c r="BV7" t="s">
        <v>182</v>
      </c>
    </row>
    <row r="8" spans="1:74" ht="15.75" thickBot="1" x14ac:dyDescent="0.3">
      <c r="A8" s="1"/>
      <c r="B8" s="1"/>
      <c r="C8" s="1"/>
      <c r="D8" s="1"/>
      <c r="E8" s="1"/>
      <c r="F8" s="1"/>
      <c r="G8" s="1"/>
      <c r="H8" s="1"/>
      <c r="I8" s="1"/>
      <c r="J8" s="1"/>
      <c r="K8" s="87"/>
      <c r="L8" s="87">
        <f>numberto22(ABS(TaroDay - TaroYear))</f>
        <v>1</v>
      </c>
      <c r="M8" s="87"/>
      <c r="N8" s="1"/>
      <c r="O8" s="1"/>
      <c r="P8" s="1"/>
      <c r="Q8" s="1"/>
      <c r="R8" s="1"/>
      <c r="S8" s="1"/>
      <c r="U8" t="s">
        <v>12</v>
      </c>
      <c r="V8" s="574">
        <v>1989</v>
      </c>
      <c r="X8" s="431" t="s">
        <v>744</v>
      </c>
      <c r="Y8" s="432">
        <f>ABS(numberto22(TaroDay+TaroMonth-TaroYear))</f>
        <v>6</v>
      </c>
      <c r="AQ8" s="228">
        <v>3</v>
      </c>
      <c r="AR8" s="229">
        <v>3</v>
      </c>
      <c r="AS8" s="229">
        <v>16</v>
      </c>
      <c r="AT8" s="229">
        <v>29</v>
      </c>
      <c r="AU8" s="229">
        <v>42</v>
      </c>
      <c r="AV8" s="582" t="s">
        <v>289</v>
      </c>
      <c r="AW8" s="583"/>
      <c r="AX8" s="585"/>
      <c r="BA8" s="228">
        <v>3</v>
      </c>
      <c r="BB8" s="229">
        <v>3</v>
      </c>
      <c r="BC8" s="229">
        <v>16</v>
      </c>
      <c r="BD8" s="229">
        <v>29</v>
      </c>
      <c r="BE8" s="229">
        <v>42</v>
      </c>
      <c r="BF8" s="582" t="s">
        <v>509</v>
      </c>
      <c r="BG8" s="583"/>
      <c r="BH8" s="585"/>
      <c r="BL8">
        <f t="shared" si="0"/>
        <v>2007</v>
      </c>
      <c r="BM8">
        <f t="shared" si="1"/>
        <v>2008</v>
      </c>
      <c r="BN8">
        <f t="shared" si="4"/>
        <v>2009</v>
      </c>
      <c r="BO8">
        <f t="shared" si="4"/>
        <v>2010</v>
      </c>
      <c r="BP8">
        <f t="shared" si="4"/>
        <v>2011</v>
      </c>
      <c r="BQ8">
        <f t="shared" si="4"/>
        <v>2012</v>
      </c>
      <c r="BT8">
        <f t="shared" si="3"/>
        <v>1993</v>
      </c>
      <c r="BU8">
        <v>4</v>
      </c>
      <c r="BV8" t="s">
        <v>182</v>
      </c>
    </row>
    <row r="9" spans="1:74" ht="15.75" thickBot="1" x14ac:dyDescent="0.3">
      <c r="A9" s="1"/>
      <c r="B9" s="1"/>
      <c r="C9" s="1"/>
      <c r="D9" s="1"/>
      <c r="E9" s="1"/>
      <c r="F9" s="1"/>
      <c r="G9" s="1"/>
      <c r="H9" s="1"/>
      <c r="I9" s="1"/>
      <c r="J9" s="1"/>
      <c r="K9" s="87"/>
      <c r="M9" s="87"/>
      <c r="N9" s="1"/>
      <c r="O9" s="1"/>
      <c r="P9" s="1"/>
      <c r="Q9" s="1"/>
      <c r="R9" s="1"/>
      <c r="S9" s="1"/>
      <c r="U9" s="66" t="s">
        <v>146</v>
      </c>
      <c r="V9">
        <f ca="1">DATEDIF(DOB,TODAY(),"y")</f>
        <v>33</v>
      </c>
      <c r="X9" s="727" t="s">
        <v>635</v>
      </c>
      <c r="Y9" s="727"/>
      <c r="Z9" s="727"/>
      <c r="AA9" s="727"/>
      <c r="AK9" s="750" t="s">
        <v>316</v>
      </c>
      <c r="AL9" s="750"/>
      <c r="AM9" s="725" t="s">
        <v>317</v>
      </c>
      <c r="AN9" s="725"/>
      <c r="AO9" s="725"/>
      <c r="AP9" s="725"/>
      <c r="AQ9" s="228">
        <v>4</v>
      </c>
      <c r="AR9" s="229">
        <v>4</v>
      </c>
      <c r="AS9" s="229">
        <v>17</v>
      </c>
      <c r="AT9" s="229">
        <v>30</v>
      </c>
      <c r="AU9" s="229">
        <v>43</v>
      </c>
      <c r="AV9" s="582" t="s">
        <v>290</v>
      </c>
      <c r="AW9" s="583"/>
      <c r="AX9" s="586"/>
      <c r="BA9" s="228">
        <v>4</v>
      </c>
      <c r="BB9" s="229">
        <v>4</v>
      </c>
      <c r="BC9" s="229">
        <v>17</v>
      </c>
      <c r="BD9" s="229">
        <v>30</v>
      </c>
      <c r="BE9" s="229">
        <v>43</v>
      </c>
      <c r="BF9" s="582" t="s">
        <v>510</v>
      </c>
      <c r="BG9" s="583"/>
      <c r="BH9" s="586"/>
      <c r="BL9">
        <f t="shared" si="0"/>
        <v>2013</v>
      </c>
      <c r="BM9">
        <f t="shared" si="1"/>
        <v>2014</v>
      </c>
      <c r="BN9">
        <f t="shared" si="4"/>
        <v>2015</v>
      </c>
      <c r="BO9">
        <f t="shared" si="4"/>
        <v>2016</v>
      </c>
      <c r="BP9">
        <f t="shared" si="4"/>
        <v>2017</v>
      </c>
      <c r="BQ9">
        <f t="shared" si="4"/>
        <v>2018</v>
      </c>
      <c r="BT9">
        <f t="shared" si="3"/>
        <v>1994</v>
      </c>
      <c r="BU9">
        <v>5</v>
      </c>
      <c r="BV9" t="s">
        <v>182</v>
      </c>
    </row>
    <row r="10" spans="1:74" ht="24" customHeight="1" thickBot="1" x14ac:dyDescent="0.4">
      <c r="A10" s="1"/>
      <c r="B10" s="1"/>
      <c r="C10" s="1"/>
      <c r="D10" s="1"/>
      <c r="E10" s="1"/>
      <c r="F10" s="1"/>
      <c r="G10" s="15" t="s">
        <v>13</v>
      </c>
      <c r="H10" s="1"/>
      <c r="I10" s="1"/>
      <c r="J10" s="1"/>
      <c r="K10" s="733" t="s">
        <v>14</v>
      </c>
      <c r="L10" s="733"/>
      <c r="M10" s="733"/>
      <c r="N10" s="1"/>
      <c r="O10" s="1"/>
      <c r="P10" s="1"/>
      <c r="Q10" s="1"/>
      <c r="R10" s="1"/>
      <c r="S10" s="1"/>
      <c r="U10" s="66" t="s">
        <v>237</v>
      </c>
      <c r="V10" s="163" t="s">
        <v>249</v>
      </c>
      <c r="W10" s="524" t="s">
        <v>789</v>
      </c>
      <c r="X10" s="523" t="s">
        <v>250</v>
      </c>
      <c r="Y10" s="281" t="s">
        <v>262</v>
      </c>
      <c r="Z10" s="71" t="s">
        <v>251</v>
      </c>
      <c r="AA10" s="166" t="s">
        <v>252</v>
      </c>
      <c r="AC10" s="783" t="s">
        <v>265</v>
      </c>
      <c r="AD10" s="784"/>
      <c r="AE10" s="93" t="str">
        <f>VLOOKUP(DOB_Day,Планеты!A2:E32,3,FALSE)</f>
        <v>Уран</v>
      </c>
      <c r="AF10" s="249">
        <f>VLOOKUP(DOB_Day,Планеты!A2:G32,6,FALSE)</f>
        <v>0.6</v>
      </c>
      <c r="AG10" s="310"/>
      <c r="AH10" s="310"/>
      <c r="AI10" s="310"/>
      <c r="AK10" s="664" t="s">
        <v>324</v>
      </c>
      <c r="AL10" s="664"/>
      <c r="AM10" s="169">
        <f>SumNumbers(CONCATENATE(DOB_Day,DOB_Month,DOB_Year))</f>
        <v>42</v>
      </c>
      <c r="AN10" t="s">
        <v>318</v>
      </c>
      <c r="AQ10" s="228">
        <v>5</v>
      </c>
      <c r="AR10" s="231">
        <v>5</v>
      </c>
      <c r="AS10" s="231">
        <v>18</v>
      </c>
      <c r="AT10" s="231">
        <v>31</v>
      </c>
      <c r="AU10" s="231">
        <v>44</v>
      </c>
      <c r="AV10" s="582" t="s">
        <v>291</v>
      </c>
      <c r="AW10" s="583"/>
      <c r="AX10" s="584" t="s">
        <v>306</v>
      </c>
      <c r="BA10" s="228">
        <v>5</v>
      </c>
      <c r="BB10" s="231">
        <v>5</v>
      </c>
      <c r="BC10" s="231">
        <v>18</v>
      </c>
      <c r="BD10" s="231">
        <v>31</v>
      </c>
      <c r="BE10" s="231">
        <v>44</v>
      </c>
      <c r="BF10" s="582" t="s">
        <v>511</v>
      </c>
      <c r="BG10" s="583"/>
      <c r="BH10" s="584" t="s">
        <v>530</v>
      </c>
      <c r="BL10">
        <f t="shared" si="0"/>
        <v>2019</v>
      </c>
      <c r="BM10">
        <f t="shared" si="1"/>
        <v>2020</v>
      </c>
      <c r="BN10">
        <f t="shared" si="4"/>
        <v>2021</v>
      </c>
      <c r="BO10">
        <f t="shared" si="4"/>
        <v>2022</v>
      </c>
      <c r="BP10">
        <f t="shared" si="4"/>
        <v>2023</v>
      </c>
      <c r="BQ10">
        <f t="shared" si="4"/>
        <v>2024</v>
      </c>
      <c r="BT10">
        <f t="shared" si="3"/>
        <v>1995</v>
      </c>
      <c r="BU10">
        <v>0</v>
      </c>
      <c r="BV10" t="s">
        <v>621</v>
      </c>
    </row>
    <row r="11" spans="1:74" x14ac:dyDescent="0.25">
      <c r="A11" s="1"/>
      <c r="B11" s="1"/>
      <c r="C11" s="1"/>
      <c r="D11" s="1"/>
      <c r="E11" s="1"/>
      <c r="F11" s="1"/>
      <c r="G11" s="1"/>
      <c r="H11" s="1"/>
      <c r="I11" s="1"/>
      <c r="J11" s="1"/>
      <c r="K11" s="733" t="s">
        <v>15</v>
      </c>
      <c r="L11" s="733"/>
      <c r="M11" s="733"/>
      <c r="N11" s="1"/>
      <c r="O11" s="1"/>
      <c r="P11" s="1"/>
      <c r="Q11" s="1"/>
      <c r="R11" s="1"/>
      <c r="S11" s="1"/>
      <c r="U11" s="207" t="s">
        <v>3</v>
      </c>
      <c r="V11" s="508">
        <f>GetLunarDay(DOB_Year,DOB_Month,DOB_Day)</f>
        <v>24</v>
      </c>
      <c r="W11" s="527" t="str">
        <f>CONCATENATE("Муж - ", VLOOKUP(V13,Каст!A2:C116,2,FALSE))</f>
        <v>Муж - 2</v>
      </c>
      <c r="X11" s="748" t="str">
        <f>CONCATENATE("0 - ", SumNumbers(CONCATENATE(DOB_Day,DOB_Month,DOB_Year)))</f>
        <v>0 - 42</v>
      </c>
      <c r="Y11" s="749"/>
      <c r="Z11" s="252" t="str">
        <f>CONCATENATE(SumNumbers(CONCATENATE(DOB_Day,DOB_Month,DOB_Year))+1," - ", SumNumbers(CONCATENATE(DOB_Day,DOB_Month,DOB_Year))+9)</f>
        <v>43 - 51</v>
      </c>
      <c r="AA11" s="282" t="str">
        <f>CONCATENATE(SumNumbers(CONCATENATE(DOB_Day,DOB_Month,DOB_Year))+10," - ∞")</f>
        <v>52 - ∞</v>
      </c>
      <c r="AC11" s="745" t="s">
        <v>271</v>
      </c>
      <c r="AD11" s="661"/>
      <c r="AE11" s="213" t="str">
        <f>VLOOKUP(DOB_Day,Планеты!A2:E32,4,FALSE)</f>
        <v>Сатурн</v>
      </c>
      <c r="AF11" s="250">
        <f>IF(VLOOKUP(DOB_Day,Планеты!A2:G32,7,FALSE)=0, "", VLOOKUP(DOB_Day,Планеты!A2:G32,7,FALSE))</f>
        <v>0.4</v>
      </c>
      <c r="AG11" s="310"/>
      <c r="AH11" s="310"/>
      <c r="AI11" s="310"/>
      <c r="AK11" s="664" t="s">
        <v>325</v>
      </c>
      <c r="AL11" s="664"/>
      <c r="AM11" s="169">
        <f t="shared" ref="AM11:AM16" si="5">AM10+9</f>
        <v>51</v>
      </c>
      <c r="AN11" t="s">
        <v>614</v>
      </c>
      <c r="AQ11" s="228">
        <v>6</v>
      </c>
      <c r="AR11" s="231">
        <v>6</v>
      </c>
      <c r="AS11" s="231">
        <v>19</v>
      </c>
      <c r="AT11" s="231">
        <v>32</v>
      </c>
      <c r="AU11" s="231">
        <v>45</v>
      </c>
      <c r="AV11" s="582" t="s">
        <v>292</v>
      </c>
      <c r="AW11" s="583"/>
      <c r="AX11" s="585"/>
      <c r="BA11" s="228">
        <v>6</v>
      </c>
      <c r="BB11" s="231">
        <v>6</v>
      </c>
      <c r="BC11" s="231">
        <v>19</v>
      </c>
      <c r="BD11" s="231">
        <v>32</v>
      </c>
      <c r="BE11" s="231">
        <v>45</v>
      </c>
      <c r="BF11" s="582" t="s">
        <v>512</v>
      </c>
      <c r="BG11" s="583"/>
      <c r="BH11" s="585"/>
      <c r="BL11">
        <f t="shared" si="0"/>
        <v>2025</v>
      </c>
      <c r="BM11">
        <f t="shared" si="1"/>
        <v>2026</v>
      </c>
      <c r="BN11">
        <f t="shared" si="4"/>
        <v>2027</v>
      </c>
      <c r="BO11">
        <f t="shared" si="4"/>
        <v>2028</v>
      </c>
      <c r="BP11">
        <f t="shared" si="4"/>
        <v>2029</v>
      </c>
      <c r="BQ11">
        <f t="shared" si="4"/>
        <v>2030</v>
      </c>
      <c r="BT11">
        <f t="shared" si="3"/>
        <v>1996</v>
      </c>
      <c r="BU11">
        <v>1</v>
      </c>
      <c r="BV11" t="s">
        <v>621</v>
      </c>
    </row>
    <row r="12" spans="1:74" ht="15.75" thickBot="1" x14ac:dyDescent="0.3">
      <c r="A12" s="1"/>
      <c r="B12" s="1"/>
      <c r="C12" s="1"/>
      <c r="D12" s="1"/>
      <c r="E12" s="1"/>
      <c r="F12" s="1"/>
      <c r="G12" s="1"/>
      <c r="H12" s="1"/>
      <c r="I12" s="1"/>
      <c r="J12" s="1"/>
      <c r="K12" s="734" t="s">
        <v>18</v>
      </c>
      <c r="L12" s="734"/>
      <c r="M12" s="734"/>
      <c r="N12" s="1"/>
      <c r="O12" s="1"/>
      <c r="P12" s="1"/>
      <c r="Q12" s="1"/>
      <c r="R12" s="1"/>
      <c r="S12" s="1"/>
      <c r="U12" s="207" t="s">
        <v>11</v>
      </c>
      <c r="V12" s="509">
        <f>GetLunarMonth(DOB_Year,DOB_Month,DOB_Day)</f>
        <v>6</v>
      </c>
      <c r="W12" s="526" t="str">
        <f>VLOOKUP(VLOOKUP(V13,Каст!A2:C116,2,FALSE),Каст!F2:G10,2,FALSE)</f>
        <v>Знахари</v>
      </c>
      <c r="X12" s="739">
        <f>TaroDay</f>
        <v>4</v>
      </c>
      <c r="Y12" s="741">
        <f>IF(VLOOKUP(DOB_Day,Планеты!A2:E32,5,FALSE)=0, "-", VLOOKUP(DOB_Day,Планеты!A2:E32,5,FALSE))</f>
        <v>8</v>
      </c>
      <c r="Z12" s="741">
        <f>TaroMonth</f>
        <v>7</v>
      </c>
      <c r="AA12" s="743">
        <f>TaroYear</f>
        <v>5</v>
      </c>
      <c r="AC12" s="746" t="s">
        <v>272</v>
      </c>
      <c r="AD12" s="747"/>
      <c r="AE12" s="248">
        <f>VLOOKUP(DOB_Day,Планеты!A2:E32,2,FALSE)</f>
        <v>0.4</v>
      </c>
      <c r="AF12" s="18"/>
      <c r="AG12" s="65"/>
      <c r="AH12" s="65"/>
      <c r="AI12" s="65"/>
      <c r="AK12" s="623" t="s">
        <v>326</v>
      </c>
      <c r="AL12" s="624"/>
      <c r="AM12" s="169">
        <f t="shared" si="5"/>
        <v>60</v>
      </c>
      <c r="AN12" t="s">
        <v>319</v>
      </c>
      <c r="AQ12" s="228">
        <v>7</v>
      </c>
      <c r="AR12" s="231">
        <v>7</v>
      </c>
      <c r="AS12" s="231">
        <v>20</v>
      </c>
      <c r="AT12" s="231">
        <v>33</v>
      </c>
      <c r="AU12" s="231">
        <v>46</v>
      </c>
      <c r="AV12" s="582" t="s">
        <v>293</v>
      </c>
      <c r="AW12" s="583"/>
      <c r="AX12" s="585"/>
      <c r="BA12" s="228">
        <v>7</v>
      </c>
      <c r="BB12" s="231">
        <v>7</v>
      </c>
      <c r="BC12" s="231">
        <v>20</v>
      </c>
      <c r="BD12" s="231">
        <v>33</v>
      </c>
      <c r="BE12" s="231">
        <v>46</v>
      </c>
      <c r="BF12" s="582" t="s">
        <v>513</v>
      </c>
      <c r="BG12" s="583"/>
      <c r="BH12" s="585"/>
      <c r="BL12">
        <f t="shared" si="0"/>
        <v>2031</v>
      </c>
      <c r="BM12">
        <f t="shared" si="1"/>
        <v>2032</v>
      </c>
      <c r="BN12">
        <f t="shared" si="4"/>
        <v>2033</v>
      </c>
      <c r="BO12">
        <f t="shared" si="4"/>
        <v>2034</v>
      </c>
      <c r="BP12">
        <f t="shared" si="4"/>
        <v>2035</v>
      </c>
      <c r="BQ12">
        <f t="shared" si="4"/>
        <v>2036</v>
      </c>
      <c r="BT12">
        <f t="shared" si="3"/>
        <v>1997</v>
      </c>
      <c r="BU12">
        <v>2</v>
      </c>
      <c r="BV12" t="s">
        <v>621</v>
      </c>
    </row>
    <row r="13" spans="1:74" ht="15.75" thickBot="1" x14ac:dyDescent="0.3">
      <c r="B13" s="405"/>
      <c r="C13" s="405"/>
      <c r="D13" s="405"/>
      <c r="E13" s="405"/>
      <c r="F13" s="581" t="s">
        <v>27</v>
      </c>
      <c r="G13" s="581"/>
      <c r="H13" s="2"/>
      <c r="I13" s="2"/>
      <c r="J13" s="2"/>
      <c r="K13" s="4" t="s">
        <v>28</v>
      </c>
      <c r="L13" s="4" t="s">
        <v>29</v>
      </c>
      <c r="M13" s="4" t="s">
        <v>30</v>
      </c>
      <c r="N13" s="2"/>
      <c r="O13" s="2"/>
      <c r="P13" s="2"/>
      <c r="Q13" s="581" t="s">
        <v>31</v>
      </c>
      <c r="R13" s="581"/>
      <c r="S13" s="1"/>
      <c r="U13" s="207" t="s">
        <v>12</v>
      </c>
      <c r="V13" s="510">
        <f>GetLunarYear(DOB_Year,DOB_Month,DOB_Day)</f>
        <v>4687</v>
      </c>
      <c r="W13" s="527" t="str">
        <f>CONCATENATE("Жен - ", VLOOKUP(V13,Каст!A2:C116,3,FALSE))</f>
        <v>Жен - 4</v>
      </c>
      <c r="X13" s="740"/>
      <c r="Y13" s="742"/>
      <c r="Z13" s="742"/>
      <c r="AA13" s="744"/>
      <c r="AK13" s="625"/>
      <c r="AL13" s="626"/>
      <c r="AM13" s="169">
        <f t="shared" si="5"/>
        <v>69</v>
      </c>
      <c r="AN13" t="s">
        <v>320</v>
      </c>
      <c r="AQ13" s="228">
        <v>8</v>
      </c>
      <c r="AR13" s="231">
        <v>8</v>
      </c>
      <c r="AS13" s="231">
        <v>21</v>
      </c>
      <c r="AT13" s="231">
        <v>34</v>
      </c>
      <c r="AU13" s="231">
        <v>47</v>
      </c>
      <c r="AV13" s="582" t="s">
        <v>294</v>
      </c>
      <c r="AW13" s="583"/>
      <c r="AX13" s="586"/>
      <c r="BA13" s="228">
        <v>8</v>
      </c>
      <c r="BB13" s="231">
        <v>8</v>
      </c>
      <c r="BC13" s="231">
        <v>21</v>
      </c>
      <c r="BD13" s="231">
        <v>34</v>
      </c>
      <c r="BE13" s="231">
        <v>47</v>
      </c>
      <c r="BF13" s="582" t="s">
        <v>514</v>
      </c>
      <c r="BG13" s="583"/>
      <c r="BH13" s="586"/>
      <c r="BL13">
        <f t="shared" si="0"/>
        <v>2037</v>
      </c>
      <c r="BM13">
        <f t="shared" si="1"/>
        <v>2038</v>
      </c>
      <c r="BN13">
        <f t="shared" si="4"/>
        <v>2039</v>
      </c>
      <c r="BO13">
        <f t="shared" si="4"/>
        <v>2040</v>
      </c>
      <c r="BP13">
        <f t="shared" si="4"/>
        <v>2041</v>
      </c>
      <c r="BQ13">
        <f t="shared" si="4"/>
        <v>2042</v>
      </c>
      <c r="BT13">
        <f t="shared" si="3"/>
        <v>1998</v>
      </c>
      <c r="BU13">
        <v>3</v>
      </c>
      <c r="BV13" t="s">
        <v>621</v>
      </c>
    </row>
    <row r="14" spans="1:74" ht="15.75" customHeight="1" thickBot="1" x14ac:dyDescent="0.3">
      <c r="F14" s="1" t="s">
        <v>34</v>
      </c>
      <c r="G14" s="1"/>
      <c r="H14" s="1"/>
      <c r="I14" s="1"/>
      <c r="J14" s="1"/>
      <c r="K14" s="6">
        <f>TaroDay</f>
        <v>4</v>
      </c>
      <c r="L14" s="6">
        <f>TaroMonth</f>
        <v>7</v>
      </c>
      <c r="M14" s="6">
        <f>TaroYear</f>
        <v>5</v>
      </c>
      <c r="N14" s="1"/>
      <c r="O14" s="1"/>
      <c r="P14" s="1"/>
      <c r="Q14" s="1" t="s">
        <v>35</v>
      </c>
      <c r="R14" s="1"/>
      <c r="S14" s="1"/>
      <c r="W14" s="525" t="str">
        <f>VLOOKUP(VLOOKUP(V13,Каст!A2:C116,3,FALSE),Каст!F2:G10,2,FALSE)</f>
        <v>Колдуны</v>
      </c>
      <c r="AC14" s="234" t="s">
        <v>273</v>
      </c>
      <c r="AD14" s="72"/>
      <c r="AE14" s="72"/>
      <c r="AF14" s="61"/>
      <c r="AG14" s="65"/>
      <c r="AH14" s="65"/>
      <c r="AI14" s="65"/>
      <c r="AK14" s="625"/>
      <c r="AL14" s="626"/>
      <c r="AM14" s="169">
        <f t="shared" si="5"/>
        <v>78</v>
      </c>
      <c r="AN14" t="s">
        <v>321</v>
      </c>
      <c r="AQ14" s="228">
        <v>9</v>
      </c>
      <c r="AR14" s="232">
        <v>9</v>
      </c>
      <c r="AS14" s="232">
        <v>22</v>
      </c>
      <c r="AT14" s="232">
        <v>35</v>
      </c>
      <c r="AU14" s="232">
        <v>48</v>
      </c>
      <c r="AV14" s="582" t="s">
        <v>295</v>
      </c>
      <c r="AW14" s="583"/>
      <c r="AX14" s="584" t="s">
        <v>307</v>
      </c>
      <c r="BA14" s="228">
        <v>9</v>
      </c>
      <c r="BB14" s="232">
        <v>9</v>
      </c>
      <c r="BC14" s="232">
        <v>22</v>
      </c>
      <c r="BD14" s="232">
        <v>35</v>
      </c>
      <c r="BE14" s="232">
        <v>48</v>
      </c>
      <c r="BF14" s="582" t="s">
        <v>515</v>
      </c>
      <c r="BG14" s="583"/>
      <c r="BH14" s="584" t="s">
        <v>531</v>
      </c>
      <c r="BL14">
        <f t="shared" si="0"/>
        <v>2043</v>
      </c>
      <c r="BM14">
        <f t="shared" si="1"/>
        <v>2044</v>
      </c>
      <c r="BN14">
        <f t="shared" si="4"/>
        <v>2045</v>
      </c>
      <c r="BO14">
        <f t="shared" si="4"/>
        <v>2046</v>
      </c>
      <c r="BP14">
        <f t="shared" si="4"/>
        <v>2047</v>
      </c>
      <c r="BQ14">
        <f t="shared" si="4"/>
        <v>2048</v>
      </c>
      <c r="BT14">
        <f t="shared" si="3"/>
        <v>1999</v>
      </c>
      <c r="BU14">
        <v>4</v>
      </c>
      <c r="BV14" t="s">
        <v>621</v>
      </c>
    </row>
    <row r="15" spans="1:74" ht="18" x14ac:dyDescent="0.35">
      <c r="A15" s="1"/>
      <c r="B15" s="1"/>
      <c r="C15" s="1"/>
      <c r="D15" s="1"/>
      <c r="E15" s="1"/>
      <c r="F15" s="1"/>
      <c r="G15" s="1"/>
      <c r="H15" s="737" t="s">
        <v>37</v>
      </c>
      <c r="I15" s="737"/>
      <c r="J15" s="737"/>
      <c r="K15" s="4" t="s">
        <v>38</v>
      </c>
      <c r="L15" s="7" t="s">
        <v>39</v>
      </c>
      <c r="M15" s="4" t="s">
        <v>40</v>
      </c>
      <c r="N15" s="1" t="s">
        <v>41</v>
      </c>
      <c r="O15" s="1"/>
      <c r="P15" s="1"/>
      <c r="Q15" s="1"/>
      <c r="R15" s="1"/>
      <c r="S15" s="1"/>
      <c r="U15" s="66" t="s">
        <v>258</v>
      </c>
      <c r="V15" s="575" t="s">
        <v>1126</v>
      </c>
      <c r="X15" s="165" t="s">
        <v>38</v>
      </c>
      <c r="Y15" s="71" t="s">
        <v>54</v>
      </c>
      <c r="Z15" s="71" t="s">
        <v>46</v>
      </c>
      <c r="AA15" s="166" t="s">
        <v>51</v>
      </c>
      <c r="AC15" s="271" t="s">
        <v>274</v>
      </c>
      <c r="AD15" s="68">
        <f>CountEven(X52)</f>
        <v>7</v>
      </c>
      <c r="AE15" s="629">
        <f>AD16-AD15</f>
        <v>0</v>
      </c>
      <c r="AF15" s="630"/>
      <c r="AG15" s="311"/>
      <c r="AH15" s="311"/>
      <c r="AI15" s="311"/>
      <c r="AK15" s="625"/>
      <c r="AL15" s="626"/>
      <c r="AM15" s="169">
        <f t="shared" si="5"/>
        <v>87</v>
      </c>
      <c r="AN15" t="s">
        <v>322</v>
      </c>
      <c r="AQ15" s="228">
        <v>10</v>
      </c>
      <c r="AR15" s="232">
        <v>10</v>
      </c>
      <c r="AS15" s="232">
        <v>23</v>
      </c>
      <c r="AT15" s="232">
        <v>36</v>
      </c>
      <c r="AU15" s="232">
        <v>49</v>
      </c>
      <c r="AV15" s="582" t="s">
        <v>296</v>
      </c>
      <c r="AW15" s="583"/>
      <c r="AX15" s="585"/>
      <c r="BA15" s="228">
        <v>10</v>
      </c>
      <c r="BB15" s="232">
        <v>10</v>
      </c>
      <c r="BC15" s="232">
        <v>23</v>
      </c>
      <c r="BD15" s="232">
        <v>36</v>
      </c>
      <c r="BE15" s="232">
        <v>49</v>
      </c>
      <c r="BF15" s="582" t="s">
        <v>516</v>
      </c>
      <c r="BG15" s="583"/>
      <c r="BH15" s="585"/>
      <c r="BL15">
        <f t="shared" si="0"/>
        <v>2049</v>
      </c>
      <c r="BM15">
        <f t="shared" si="1"/>
        <v>2050</v>
      </c>
      <c r="BN15">
        <f t="shared" si="4"/>
        <v>2051</v>
      </c>
      <c r="BO15">
        <f t="shared" si="4"/>
        <v>2052</v>
      </c>
      <c r="BP15">
        <f t="shared" si="4"/>
        <v>2053</v>
      </c>
      <c r="BQ15">
        <f t="shared" si="4"/>
        <v>2054</v>
      </c>
      <c r="BT15">
        <f t="shared" si="3"/>
        <v>2000</v>
      </c>
      <c r="BU15">
        <v>5</v>
      </c>
      <c r="BV15" t="s">
        <v>621</v>
      </c>
    </row>
    <row r="16" spans="1:74" ht="15" customHeight="1" thickBot="1" x14ac:dyDescent="0.3">
      <c r="A16" s="1"/>
      <c r="B16" s="1"/>
      <c r="C16" s="1"/>
      <c r="D16" s="1"/>
      <c r="E16" s="1"/>
      <c r="F16" s="1"/>
      <c r="G16" s="1"/>
      <c r="H16" s="737" t="s">
        <v>44</v>
      </c>
      <c r="I16" s="737"/>
      <c r="J16" s="737"/>
      <c r="K16" s="6">
        <f>TP</f>
        <v>11</v>
      </c>
      <c r="L16" s="5">
        <f>TP_DOP</f>
        <v>4</v>
      </c>
      <c r="M16" s="6">
        <f>numberto22(VALUE(TaroMonth)+VALUE(TaroYear))</f>
        <v>12</v>
      </c>
      <c r="N16" s="1" t="s">
        <v>45</v>
      </c>
      <c r="O16" s="1"/>
      <c r="P16" s="1"/>
      <c r="Q16" s="1"/>
      <c r="R16" s="1"/>
      <c r="S16" s="1"/>
      <c r="U16" s="66" t="s">
        <v>257</v>
      </c>
      <c r="V16" s="574" t="s">
        <v>1124</v>
      </c>
      <c r="X16" s="208">
        <f>numberto22(ABS(IF(numberto22(DOB_Day)+numberto22(DOB_Month)=0,22,(numberto22(DOB_Day)+numberto22(DOB_Month)))))</f>
        <v>11</v>
      </c>
      <c r="Y16" s="268">
        <f>CalcTP(DOB_Day)</f>
        <v>4</v>
      </c>
      <c r="Z16" s="268">
        <f>ABS(IF(numberto22(DOB_Day)-numberto22(DOB_Month)=0,22,(numberto22(DOB_Day)-numberto22(DOB_Month))))</f>
        <v>3</v>
      </c>
      <c r="AA16" s="209">
        <f>CalcOPV(DOB_Day)</f>
        <v>0</v>
      </c>
      <c r="AC16" s="277" t="s">
        <v>275</v>
      </c>
      <c r="AD16" s="17">
        <f>CountOdd(X52)</f>
        <v>7</v>
      </c>
      <c r="AE16" s="631"/>
      <c r="AF16" s="632"/>
      <c r="AG16" s="311"/>
      <c r="AH16" s="311"/>
      <c r="AI16" s="311"/>
      <c r="AK16" s="627"/>
      <c r="AL16" s="628"/>
      <c r="AM16" s="169">
        <f t="shared" si="5"/>
        <v>96</v>
      </c>
      <c r="AN16" t="s">
        <v>323</v>
      </c>
      <c r="AQ16" s="228">
        <v>11</v>
      </c>
      <c r="AR16" s="232">
        <v>11</v>
      </c>
      <c r="AS16" s="232">
        <v>24</v>
      </c>
      <c r="AT16" s="232">
        <v>37</v>
      </c>
      <c r="AU16" s="232">
        <v>50</v>
      </c>
      <c r="AV16" s="582" t="s">
        <v>297</v>
      </c>
      <c r="AW16" s="583"/>
      <c r="AX16" s="585"/>
      <c r="BA16" s="228">
        <v>11</v>
      </c>
      <c r="BB16" s="232">
        <v>11</v>
      </c>
      <c r="BC16" s="232">
        <v>24</v>
      </c>
      <c r="BD16" s="232">
        <v>37</v>
      </c>
      <c r="BE16" s="232">
        <v>50</v>
      </c>
      <c r="BF16" s="582" t="s">
        <v>517</v>
      </c>
      <c r="BG16" s="583"/>
      <c r="BH16" s="585"/>
      <c r="BL16">
        <f t="shared" si="0"/>
        <v>2055</v>
      </c>
      <c r="BM16">
        <f t="shared" si="1"/>
        <v>2056</v>
      </c>
      <c r="BN16">
        <f t="shared" si="4"/>
        <v>2057</v>
      </c>
      <c r="BO16">
        <f t="shared" si="4"/>
        <v>2058</v>
      </c>
      <c r="BP16">
        <f t="shared" si="4"/>
        <v>2059</v>
      </c>
      <c r="BQ16">
        <f t="shared" si="4"/>
        <v>2060</v>
      </c>
      <c r="BT16">
        <f t="shared" si="3"/>
        <v>2001</v>
      </c>
      <c r="BU16">
        <v>0</v>
      </c>
      <c r="BV16" t="s">
        <v>182</v>
      </c>
    </row>
    <row r="17" spans="1:74" ht="18" customHeight="1" thickBot="1" x14ac:dyDescent="0.3">
      <c r="A17" s="1"/>
      <c r="B17" s="1"/>
      <c r="C17" s="1"/>
      <c r="D17" s="1"/>
      <c r="E17" s="1"/>
      <c r="F17" s="1"/>
      <c r="G17" s="1"/>
      <c r="H17" s="738" t="s">
        <v>47</v>
      </c>
      <c r="I17" s="738"/>
      <c r="J17" s="738"/>
      <c r="K17" s="13" t="s">
        <v>46</v>
      </c>
      <c r="L17" s="735" t="s">
        <v>48</v>
      </c>
      <c r="M17" s="11" t="s">
        <v>49</v>
      </c>
      <c r="N17" s="14" t="s">
        <v>50</v>
      </c>
      <c r="O17" s="1"/>
      <c r="P17" s="1"/>
      <c r="Q17" s="1"/>
      <c r="R17" s="1"/>
      <c r="S17" s="1"/>
      <c r="AQ17" s="228">
        <v>12</v>
      </c>
      <c r="AR17" s="232">
        <v>12</v>
      </c>
      <c r="AS17" s="232">
        <v>25</v>
      </c>
      <c r="AT17" s="232">
        <v>38</v>
      </c>
      <c r="AU17" s="232">
        <v>51</v>
      </c>
      <c r="AV17" s="587" t="s">
        <v>298</v>
      </c>
      <c r="AW17" s="588"/>
      <c r="AX17" s="586"/>
      <c r="BA17" s="228">
        <v>12</v>
      </c>
      <c r="BB17" s="232">
        <v>12</v>
      </c>
      <c r="BC17" s="232">
        <v>25</v>
      </c>
      <c r="BD17" s="232">
        <v>38</v>
      </c>
      <c r="BE17" s="232">
        <v>51</v>
      </c>
      <c r="BF17" s="587" t="s">
        <v>518</v>
      </c>
      <c r="BG17" s="588"/>
      <c r="BH17" s="586"/>
      <c r="BL17">
        <f t="shared" si="0"/>
        <v>2061</v>
      </c>
      <c r="BM17">
        <f t="shared" si="1"/>
        <v>2062</v>
      </c>
      <c r="BN17">
        <f t="shared" si="4"/>
        <v>2063</v>
      </c>
      <c r="BO17">
        <f t="shared" si="4"/>
        <v>2064</v>
      </c>
      <c r="BP17">
        <f t="shared" si="4"/>
        <v>2065</v>
      </c>
      <c r="BQ17">
        <f t="shared" si="4"/>
        <v>2066</v>
      </c>
      <c r="BT17">
        <f t="shared" si="3"/>
        <v>2002</v>
      </c>
      <c r="BU17">
        <v>1</v>
      </c>
      <c r="BV17" t="s">
        <v>182</v>
      </c>
    </row>
    <row r="18" spans="1:74" ht="19.5" thickBot="1" x14ac:dyDescent="0.3">
      <c r="A18" s="1"/>
      <c r="B18" s="1"/>
      <c r="C18" s="1"/>
      <c r="D18" s="1"/>
      <c r="E18" s="1"/>
      <c r="F18" s="1"/>
      <c r="G18" s="1"/>
      <c r="H18" s="1"/>
      <c r="K18" s="12">
        <f>OPV</f>
        <v>3</v>
      </c>
      <c r="L18" s="736"/>
      <c r="M18" s="5">
        <f>CoZ</f>
        <v>16</v>
      </c>
      <c r="P18" s="1"/>
      <c r="Q18" s="1"/>
      <c r="R18" s="1"/>
      <c r="S18" s="1"/>
      <c r="U18" s="60" t="s">
        <v>16</v>
      </c>
      <c r="V18" s="61">
        <f>numberto22(DOB_Day)</f>
        <v>4</v>
      </c>
      <c r="X18" s="265" t="s">
        <v>4</v>
      </c>
      <c r="Y18" s="266" t="s">
        <v>5</v>
      </c>
      <c r="Z18" s="266" t="s">
        <v>6</v>
      </c>
      <c r="AA18" s="266" t="s">
        <v>7</v>
      </c>
      <c r="AB18" s="266" t="s">
        <v>8</v>
      </c>
      <c r="AC18" s="267" t="s">
        <v>9</v>
      </c>
      <c r="AK18" s="726" t="s">
        <v>638</v>
      </c>
      <c r="AL18" s="726"/>
      <c r="AM18" s="726"/>
      <c r="AN18" s="279" t="s">
        <v>645</v>
      </c>
      <c r="AO18" s="280" t="s">
        <v>223</v>
      </c>
      <c r="AQ18" s="228">
        <v>13</v>
      </c>
      <c r="AR18" s="230">
        <v>13</v>
      </c>
      <c r="AS18" s="230">
        <v>26</v>
      </c>
      <c r="AT18" s="230">
        <v>39</v>
      </c>
      <c r="AU18" s="230">
        <v>52</v>
      </c>
      <c r="AV18" s="589" t="s">
        <v>299</v>
      </c>
      <c r="AW18" s="589"/>
      <c r="AX18" s="227" t="s">
        <v>416</v>
      </c>
      <c r="BA18" s="228">
        <v>13</v>
      </c>
      <c r="BB18" s="230">
        <v>13</v>
      </c>
      <c r="BC18" s="230">
        <v>26</v>
      </c>
      <c r="BD18" s="230">
        <v>39</v>
      </c>
      <c r="BE18" s="230">
        <v>52</v>
      </c>
      <c r="BF18" s="589" t="s">
        <v>519</v>
      </c>
      <c r="BG18" s="589"/>
      <c r="BH18" s="227" t="s">
        <v>416</v>
      </c>
      <c r="BL18">
        <f t="shared" si="0"/>
        <v>2067</v>
      </c>
      <c r="BM18">
        <f t="shared" si="1"/>
        <v>2068</v>
      </c>
      <c r="BN18">
        <f t="shared" si="4"/>
        <v>2069</v>
      </c>
      <c r="BO18">
        <f t="shared" si="4"/>
        <v>2070</v>
      </c>
      <c r="BP18">
        <f t="shared" si="4"/>
        <v>2071</v>
      </c>
      <c r="BQ18">
        <f t="shared" si="4"/>
        <v>2072</v>
      </c>
      <c r="BT18">
        <f t="shared" si="3"/>
        <v>2003</v>
      </c>
      <c r="BU18">
        <v>2</v>
      </c>
      <c r="BV18" t="s">
        <v>182</v>
      </c>
    </row>
    <row r="19" spans="1:74" ht="18.75" customHeight="1" thickBot="1" x14ac:dyDescent="0.3">
      <c r="A19" s="1"/>
      <c r="B19" s="1"/>
      <c r="C19" s="1"/>
      <c r="D19" s="1"/>
      <c r="E19" s="1"/>
      <c r="F19" s="1"/>
      <c r="G19" s="1"/>
      <c r="H19" s="1"/>
      <c r="I19" s="84" t="s">
        <v>52</v>
      </c>
      <c r="J19" s="3">
        <f>numberto22(OPV+TaroDay)</f>
        <v>7</v>
      </c>
      <c r="K19" s="4" t="s">
        <v>51</v>
      </c>
      <c r="L19" s="9">
        <f>numberto22(K16+M16)</f>
        <v>1</v>
      </c>
      <c r="M19" s="5"/>
      <c r="N19" s="84" t="s">
        <v>53</v>
      </c>
      <c r="O19" s="3">
        <f>numberto22(CoZ+TaroYear)</f>
        <v>21</v>
      </c>
      <c r="P19" s="1"/>
      <c r="Q19" s="1"/>
      <c r="R19" s="1"/>
      <c r="U19" s="62" t="s">
        <v>19</v>
      </c>
      <c r="V19" s="63">
        <f>numberto22(DOB_Month)</f>
        <v>7</v>
      </c>
      <c r="X19" s="217">
        <f>SumNumbers(W6)</f>
        <v>42</v>
      </c>
      <c r="Y19" s="94">
        <f>SumNumbers(X19)</f>
        <v>6</v>
      </c>
      <c r="Z19" s="94">
        <f>WorkNum_1-(2*MID(DOB_Day, 1,1))</f>
        <v>38</v>
      </c>
      <c r="AA19" s="94">
        <f>SumNumbers(WorkNum_3)</f>
        <v>11</v>
      </c>
      <c r="AB19" s="94">
        <f>WorkNum_1+2*LastNotZero(DOB_Year)</f>
        <v>60</v>
      </c>
      <c r="AC19" s="212">
        <f>SumNumbers(WorkNum_5)</f>
        <v>6</v>
      </c>
      <c r="AK19" s="728" t="s">
        <v>748</v>
      </c>
      <c r="AL19" s="729"/>
      <c r="AM19" s="729"/>
      <c r="AN19" s="93">
        <f>numberto22(ConvertLettersToNumber(AK19,Alphabet))</f>
        <v>12</v>
      </c>
      <c r="AO19" s="283">
        <f>COUNTIF($Z$25:$AG$25,AN19)</f>
        <v>0</v>
      </c>
      <c r="AQ19" s="590" t="s">
        <v>314</v>
      </c>
      <c r="AR19" s="596" t="s">
        <v>300</v>
      </c>
      <c r="AS19" s="596" t="s">
        <v>301</v>
      </c>
      <c r="AT19" s="596" t="s">
        <v>302</v>
      </c>
      <c r="AU19" s="596" t="s">
        <v>303</v>
      </c>
      <c r="AV19" s="599" t="s">
        <v>308</v>
      </c>
      <c r="AW19" s="600"/>
      <c r="AX19" s="601"/>
      <c r="BA19" s="590" t="s">
        <v>524</v>
      </c>
      <c r="BB19" s="593" t="s">
        <v>520</v>
      </c>
      <c r="BC19" s="596" t="s">
        <v>521</v>
      </c>
      <c r="BD19" s="596" t="s">
        <v>522</v>
      </c>
      <c r="BE19" s="596" t="s">
        <v>523</v>
      </c>
      <c r="BF19" s="599" t="s">
        <v>532</v>
      </c>
      <c r="BG19" s="600"/>
      <c r="BH19" s="601"/>
      <c r="BL19">
        <f t="shared" si="0"/>
        <v>2073</v>
      </c>
      <c r="BM19">
        <f t="shared" si="1"/>
        <v>2074</v>
      </c>
      <c r="BN19">
        <f t="shared" si="4"/>
        <v>2075</v>
      </c>
      <c r="BO19">
        <f t="shared" si="4"/>
        <v>2076</v>
      </c>
      <c r="BP19">
        <f t="shared" si="4"/>
        <v>2077</v>
      </c>
      <c r="BQ19">
        <f t="shared" si="4"/>
        <v>2078</v>
      </c>
      <c r="BT19">
        <f t="shared" si="3"/>
        <v>2004</v>
      </c>
      <c r="BU19">
        <v>3</v>
      </c>
      <c r="BV19" t="s">
        <v>182</v>
      </c>
    </row>
    <row r="20" spans="1:74" ht="15.75" customHeight="1" thickBot="1" x14ac:dyDescent="0.3">
      <c r="A20" s="1"/>
      <c r="B20" s="1"/>
      <c r="C20" s="1"/>
      <c r="D20" s="1"/>
      <c r="E20" s="1"/>
      <c r="F20" s="1"/>
      <c r="G20" s="1"/>
      <c r="H20" s="1"/>
      <c r="I20" s="1"/>
      <c r="J20" s="1"/>
      <c r="K20" s="6">
        <f>OPV_DOP</f>
        <v>0</v>
      </c>
      <c r="L20" s="10"/>
      <c r="M20" s="6"/>
      <c r="N20" s="1"/>
      <c r="O20" s="1"/>
      <c r="P20" s="1"/>
      <c r="Q20" s="1"/>
      <c r="R20" s="1"/>
      <c r="U20" s="16" t="s">
        <v>32</v>
      </c>
      <c r="V20" s="18">
        <f>numberto22(SumNumbers(DOB_Year))</f>
        <v>5</v>
      </c>
      <c r="Y20" t="s">
        <v>649</v>
      </c>
      <c r="AK20" s="730" t="s">
        <v>637</v>
      </c>
      <c r="AL20" s="731"/>
      <c r="AM20" s="731"/>
      <c r="AN20" s="94">
        <f>numberto22(numberto22(ConvertLettersToNumber(AK19,Alphabet))+X4)</f>
        <v>14</v>
      </c>
      <c r="AO20" s="274">
        <f>COUNTIF($Z$25:$AG$25,AN20)</f>
        <v>0</v>
      </c>
      <c r="AQ20" s="591"/>
      <c r="AR20" s="597"/>
      <c r="AS20" s="597"/>
      <c r="AT20" s="597"/>
      <c r="AU20" s="597"/>
      <c r="AV20" s="602"/>
      <c r="AW20" s="603"/>
      <c r="AX20" s="604"/>
      <c r="BA20" s="591"/>
      <c r="BB20" s="594"/>
      <c r="BC20" s="597"/>
      <c r="BD20" s="597"/>
      <c r="BE20" s="597"/>
      <c r="BF20" s="602"/>
      <c r="BG20" s="603"/>
      <c r="BH20" s="604"/>
      <c r="BL20">
        <f t="shared" si="0"/>
        <v>2079</v>
      </c>
      <c r="BM20">
        <f t="shared" si="1"/>
        <v>2080</v>
      </c>
      <c r="BN20">
        <f t="shared" si="4"/>
        <v>2081</v>
      </c>
      <c r="BO20">
        <f t="shared" si="4"/>
        <v>2082</v>
      </c>
      <c r="BP20">
        <f t="shared" si="4"/>
        <v>2083</v>
      </c>
      <c r="BQ20">
        <f t="shared" si="4"/>
        <v>2084</v>
      </c>
      <c r="BT20">
        <f t="shared" si="3"/>
        <v>2005</v>
      </c>
      <c r="BU20">
        <v>4</v>
      </c>
      <c r="BV20" t="s">
        <v>182</v>
      </c>
    </row>
    <row r="21" spans="1:74" x14ac:dyDescent="0.25">
      <c r="A21" s="2"/>
      <c r="B21" s="2"/>
      <c r="C21" s="2"/>
      <c r="D21" s="2"/>
      <c r="E21" s="2"/>
      <c r="F21" s="2"/>
      <c r="G21" s="2"/>
      <c r="H21" s="2"/>
      <c r="I21" s="2"/>
      <c r="J21" s="2"/>
      <c r="K21" s="86"/>
      <c r="L21" s="86"/>
      <c r="M21" s="86"/>
      <c r="N21" s="2"/>
      <c r="O21" s="2"/>
      <c r="P21" s="2"/>
      <c r="Q21" s="2"/>
      <c r="R21" s="2"/>
      <c r="Y21" t="s">
        <v>650</v>
      </c>
      <c r="AB21">
        <f>COUNTIF($Y$25:$AH$25,OPV_DOP)</f>
        <v>1</v>
      </c>
      <c r="AC21">
        <f>COUNTIF($Y$25:$AH$25,OPV)</f>
        <v>1</v>
      </c>
      <c r="AD21">
        <f>COUNTIF($Y$25:$AH$25,KN_2)</f>
        <v>1</v>
      </c>
      <c r="AE21">
        <f>COUNTIF($Y$25:$AH$25,KN_3)</f>
        <v>2</v>
      </c>
      <c r="AF21">
        <f>COUNTIF($Y$25:$AH$25,KN_4)</f>
        <v>2</v>
      </c>
      <c r="AG21">
        <f>COUNTIF($Y$25:$AH$25,KN_Main)</f>
        <v>1</v>
      </c>
      <c r="AQ21" s="591"/>
      <c r="AR21" s="598"/>
      <c r="AS21" s="598"/>
      <c r="AT21" s="598"/>
      <c r="AU21" s="598"/>
      <c r="AV21" s="605"/>
      <c r="AW21" s="606"/>
      <c r="AX21" s="607"/>
      <c r="BA21" s="591"/>
      <c r="BB21" s="595"/>
      <c r="BC21" s="598"/>
      <c r="BD21" s="598"/>
      <c r="BE21" s="598"/>
      <c r="BF21" s="605"/>
      <c r="BG21" s="606"/>
      <c r="BH21" s="607"/>
      <c r="BL21">
        <f t="shared" si="0"/>
        <v>2085</v>
      </c>
      <c r="BM21">
        <f t="shared" si="1"/>
        <v>2086</v>
      </c>
      <c r="BN21">
        <f t="shared" si="4"/>
        <v>2087</v>
      </c>
      <c r="BO21">
        <f t="shared" si="4"/>
        <v>2088</v>
      </c>
      <c r="BP21">
        <f t="shared" si="4"/>
        <v>2089</v>
      </c>
      <c r="BQ21">
        <f t="shared" si="4"/>
        <v>2090</v>
      </c>
      <c r="BT21">
        <f t="shared" si="3"/>
        <v>2006</v>
      </c>
      <c r="BU21">
        <v>5</v>
      </c>
      <c r="BV21" t="s">
        <v>182</v>
      </c>
    </row>
    <row r="22" spans="1:74" ht="15.75" customHeight="1" thickBot="1" x14ac:dyDescent="0.3">
      <c r="A22" s="8"/>
      <c r="B22" s="8"/>
      <c r="C22" s="8"/>
      <c r="D22" s="8"/>
      <c r="E22" s="8"/>
      <c r="F22" s="8"/>
      <c r="G22" s="8"/>
      <c r="H22" s="8"/>
      <c r="I22" s="8"/>
      <c r="J22" s="8"/>
      <c r="K22" s="734" t="s">
        <v>55</v>
      </c>
      <c r="L22" s="734"/>
      <c r="M22" s="734"/>
      <c r="N22" s="8"/>
      <c r="O22" s="8"/>
      <c r="P22" s="8"/>
      <c r="Q22" s="8"/>
      <c r="R22" s="8"/>
      <c r="U22" s="416" t="s">
        <v>1062</v>
      </c>
      <c r="V22" s="312">
        <f>numberto22(ConvertLettersToNumber(U22,AlphabetEng))</f>
        <v>6</v>
      </c>
      <c r="X22" s="660" t="s">
        <v>17</v>
      </c>
      <c r="Y22" s="660"/>
      <c r="Z22" s="660"/>
      <c r="AA22" s="660"/>
      <c r="AB22" s="660"/>
      <c r="AC22" s="660"/>
      <c r="AD22" s="660"/>
      <c r="AE22" s="660"/>
      <c r="AF22" s="660"/>
      <c r="AG22" s="660"/>
      <c r="AH22" s="660"/>
      <c r="AI22" s="660"/>
      <c r="AK22" s="727" t="s">
        <v>643</v>
      </c>
      <c r="AL22" s="727"/>
      <c r="AM22" s="727"/>
      <c r="AQ22" s="591"/>
      <c r="AR22" s="608" t="s">
        <v>309</v>
      </c>
      <c r="AS22" s="611" t="s">
        <v>310</v>
      </c>
      <c r="AT22" s="614" t="s">
        <v>311</v>
      </c>
      <c r="AU22" s="617" t="s">
        <v>312</v>
      </c>
      <c r="AV22" s="599" t="s">
        <v>313</v>
      </c>
      <c r="AW22" s="600"/>
      <c r="AX22" s="601"/>
      <c r="BA22" s="591"/>
      <c r="BB22" s="608" t="s">
        <v>525</v>
      </c>
      <c r="BC22" s="611" t="s">
        <v>526</v>
      </c>
      <c r="BD22" s="614" t="s">
        <v>527</v>
      </c>
      <c r="BE22" s="617" t="s">
        <v>528</v>
      </c>
      <c r="BF22" s="599" t="s">
        <v>533</v>
      </c>
      <c r="BG22" s="600"/>
      <c r="BH22" s="601"/>
      <c r="BL22">
        <f t="shared" si="0"/>
        <v>2091</v>
      </c>
      <c r="BM22">
        <f t="shared" si="1"/>
        <v>2092</v>
      </c>
      <c r="BN22">
        <f t="shared" si="4"/>
        <v>2093</v>
      </c>
      <c r="BO22">
        <f t="shared" si="4"/>
        <v>2094</v>
      </c>
      <c r="BP22">
        <f t="shared" si="4"/>
        <v>2095</v>
      </c>
      <c r="BQ22">
        <f t="shared" si="4"/>
        <v>2096</v>
      </c>
      <c r="BT22">
        <f t="shared" si="3"/>
        <v>2007</v>
      </c>
      <c r="BU22">
        <v>0</v>
      </c>
      <c r="BV22" t="s">
        <v>621</v>
      </c>
    </row>
    <row r="23" spans="1:74" ht="24" thickBot="1" x14ac:dyDescent="0.4">
      <c r="A23" s="1"/>
      <c r="B23" s="1"/>
      <c r="C23" s="1"/>
      <c r="D23" s="1"/>
      <c r="E23" s="1"/>
      <c r="F23" s="1"/>
      <c r="G23" s="15" t="s">
        <v>56</v>
      </c>
      <c r="H23" s="1"/>
      <c r="I23" s="1"/>
      <c r="J23" s="1"/>
      <c r="K23" s="733" t="s">
        <v>57</v>
      </c>
      <c r="L23" s="733"/>
      <c r="M23" s="733"/>
      <c r="N23" s="1"/>
      <c r="O23" s="1"/>
      <c r="P23" s="1"/>
      <c r="Q23" s="1"/>
      <c r="R23" s="1"/>
      <c r="X23" s="328"/>
      <c r="Y23" s="761" t="s">
        <v>21</v>
      </c>
      <c r="Z23" s="762"/>
      <c r="AA23" s="761" t="s">
        <v>22</v>
      </c>
      <c r="AB23" s="762"/>
      <c r="AC23" s="761" t="s">
        <v>23</v>
      </c>
      <c r="AD23" s="762"/>
      <c r="AE23" s="761" t="s">
        <v>24</v>
      </c>
      <c r="AF23" s="762"/>
      <c r="AG23" s="764" t="s">
        <v>25</v>
      </c>
      <c r="AH23" s="765"/>
      <c r="AI23" s="334" t="s">
        <v>26</v>
      </c>
      <c r="AK23" s="60" t="s">
        <v>644</v>
      </c>
      <c r="AL23" s="729" t="s">
        <v>639</v>
      </c>
      <c r="AM23" s="729"/>
      <c r="AN23" s="93">
        <f>numberto22(SumNumbersStr(ConvertAlphaNumbersToNumber(AL23,Alphabet)))</f>
        <v>18</v>
      </c>
      <c r="AO23" s="283">
        <f>COUNTIF($Z$25:$AG$25,AN23)</f>
        <v>0</v>
      </c>
      <c r="AQ23" s="591"/>
      <c r="AR23" s="609"/>
      <c r="AS23" s="612"/>
      <c r="AT23" s="615"/>
      <c r="AU23" s="618"/>
      <c r="AV23" s="602"/>
      <c r="AW23" s="603"/>
      <c r="AX23" s="604"/>
      <c r="BA23" s="591"/>
      <c r="BB23" s="609"/>
      <c r="BC23" s="612"/>
      <c r="BD23" s="615"/>
      <c r="BE23" s="618"/>
      <c r="BF23" s="602"/>
      <c r="BG23" s="603"/>
      <c r="BH23" s="604"/>
      <c r="BL23">
        <f t="shared" si="0"/>
        <v>2097</v>
      </c>
      <c r="BM23">
        <f t="shared" si="1"/>
        <v>2098</v>
      </c>
      <c r="BN23">
        <f t="shared" si="4"/>
        <v>2099</v>
      </c>
      <c r="BO23">
        <f t="shared" si="4"/>
        <v>2100</v>
      </c>
      <c r="BP23">
        <f t="shared" si="4"/>
        <v>2101</v>
      </c>
      <c r="BQ23">
        <f t="shared" si="4"/>
        <v>2102</v>
      </c>
      <c r="BT23">
        <f t="shared" si="3"/>
        <v>2008</v>
      </c>
      <c r="BU23">
        <v>1</v>
      </c>
      <c r="BV23" t="s">
        <v>621</v>
      </c>
    </row>
    <row r="24" spans="1:74" ht="15" customHeight="1" thickBot="1" x14ac:dyDescent="0.3">
      <c r="A24" s="1"/>
      <c r="B24" s="1"/>
      <c r="C24" s="1"/>
      <c r="D24" s="1"/>
      <c r="E24" s="1"/>
      <c r="F24" s="1"/>
      <c r="G24" s="1"/>
      <c r="H24" s="1"/>
      <c r="I24" s="1"/>
      <c r="J24" s="1"/>
      <c r="K24" s="87"/>
      <c r="M24" s="87"/>
      <c r="N24" s="1"/>
      <c r="O24" s="1"/>
      <c r="P24" s="1"/>
      <c r="Q24" s="1"/>
      <c r="R24" s="1"/>
      <c r="T24" s="60" t="s">
        <v>259</v>
      </c>
      <c r="U24" s="72"/>
      <c r="V24" s="210">
        <f>NumberTo9(ConsonantsToNumber(CONCATENATE(LastName,FirstName,MiddleName),Alphabet,Volwels))</f>
        <v>5</v>
      </c>
      <c r="X24" s="329" t="s">
        <v>33</v>
      </c>
      <c r="Y24" s="331">
        <f>CalcTP(DOB_Day)</f>
        <v>4</v>
      </c>
      <c r="Z24" s="413">
        <f>numberto22(ABS(TaroDay+TaroMonth))</f>
        <v>11</v>
      </c>
      <c r="AA24" s="414">
        <f>numberto22(ABS(TaroDay+TaroYear))</f>
        <v>9</v>
      </c>
      <c r="AB24" s="357"/>
      <c r="AC24" s="414">
        <f>numberto22(ABS(Z24+AA24))</f>
        <v>20</v>
      </c>
      <c r="AD24" s="357"/>
      <c r="AE24" s="414">
        <f>numberto22(ABS(TaroMonth+TaroYear))</f>
        <v>12</v>
      </c>
      <c r="AF24" s="357"/>
      <c r="AG24" s="412">
        <f>numberto22(Z24+AA24+AC24+AE24)</f>
        <v>8</v>
      </c>
      <c r="AH24" s="360"/>
      <c r="AI24" s="335">
        <f>numberto22(AG24+AG25)</f>
        <v>16</v>
      </c>
      <c r="AK24" s="62" t="s">
        <v>640</v>
      </c>
      <c r="AL24" s="768" t="s">
        <v>641</v>
      </c>
      <c r="AM24" s="768"/>
      <c r="AN24" s="213">
        <f>numberto22(SumNumbersStr(ConvertAlphaNumbersToNumber(AL24,Alphabet)))</f>
        <v>8</v>
      </c>
      <c r="AO24" s="273">
        <f>COUNTIF($Z$25:$AG$25,AN24)</f>
        <v>1</v>
      </c>
      <c r="AQ24" s="592"/>
      <c r="AR24" s="610"/>
      <c r="AS24" s="613"/>
      <c r="AT24" s="616"/>
      <c r="AU24" s="619"/>
      <c r="AV24" s="620"/>
      <c r="AW24" s="621"/>
      <c r="AX24" s="622"/>
      <c r="BA24" s="592"/>
      <c r="BB24" s="610"/>
      <c r="BC24" s="613"/>
      <c r="BD24" s="616"/>
      <c r="BE24" s="619"/>
      <c r="BF24" s="620"/>
      <c r="BG24" s="621"/>
      <c r="BH24" s="622"/>
      <c r="BT24">
        <f t="shared" si="3"/>
        <v>2009</v>
      </c>
      <c r="BU24">
        <v>2</v>
      </c>
      <c r="BV24" t="s">
        <v>621</v>
      </c>
    </row>
    <row r="25" spans="1:74" ht="15.75" thickBot="1" x14ac:dyDescent="0.3">
      <c r="A25" s="1"/>
      <c r="B25" s="1"/>
      <c r="C25" s="1"/>
      <c r="D25" s="1"/>
      <c r="E25" s="1"/>
      <c r="F25" s="1"/>
      <c r="G25" s="1"/>
      <c r="H25" s="1"/>
      <c r="I25" s="1"/>
      <c r="J25" s="1"/>
      <c r="K25" s="87"/>
      <c r="L25" s="87" t="s">
        <v>58</v>
      </c>
      <c r="M25" s="87"/>
      <c r="N25" s="1"/>
      <c r="O25" s="1"/>
      <c r="P25" s="1"/>
      <c r="Q25" s="1"/>
      <c r="R25" s="1"/>
      <c r="T25" s="62" t="s">
        <v>260</v>
      </c>
      <c r="U25" s="68"/>
      <c r="V25" s="211">
        <f>NumberTo9(VowelsToNumber(CONCATENATE(LastName,FirstName,MiddleName),Alphabet,Volwels))</f>
        <v>3</v>
      </c>
      <c r="X25" s="329" t="s">
        <v>36</v>
      </c>
      <c r="Y25" s="332">
        <f>CalcOPV(DOB_Day)</f>
        <v>0</v>
      </c>
      <c r="Z25" s="333">
        <f>numberto22(ABS(TaroDay-TaroMonth))</f>
        <v>3</v>
      </c>
      <c r="AA25" s="359">
        <f>numberto22(ABS(TaroDay-TaroYear))</f>
        <v>1</v>
      </c>
      <c r="AB25" s="358"/>
      <c r="AC25" s="359">
        <f>numberto22(ABS(Z25-AA25))</f>
        <v>2</v>
      </c>
      <c r="AD25" s="358"/>
      <c r="AE25" s="359">
        <f>numberto22(ABS(TaroMonth-TaroYear))</f>
        <v>2</v>
      </c>
      <c r="AF25" s="358"/>
      <c r="AG25" s="361">
        <f>numberto22(Z25+AA25+AC25+AE25)</f>
        <v>8</v>
      </c>
      <c r="AH25" s="360"/>
      <c r="AI25" s="335">
        <f>numberto22(ABS(AG25-AG24))</f>
        <v>22</v>
      </c>
      <c r="AK25" s="746" t="s">
        <v>642</v>
      </c>
      <c r="AL25" s="747"/>
      <c r="AM25" s="747"/>
      <c r="AN25" s="94">
        <f>numberto22(AN23+AN24)</f>
        <v>4</v>
      </c>
      <c r="AO25" s="274">
        <f>COUNTIF($Z$25:$AG$25,AN25)</f>
        <v>0</v>
      </c>
      <c r="BT25">
        <f t="shared" si="3"/>
        <v>2010</v>
      </c>
      <c r="BU25">
        <v>3</v>
      </c>
      <c r="BV25" t="s">
        <v>621</v>
      </c>
    </row>
    <row r="26" spans="1:74" ht="15.75" thickBot="1" x14ac:dyDescent="0.3">
      <c r="L26" s="87">
        <f>numberto22(ABS(OPV-CoZ))</f>
        <v>13</v>
      </c>
      <c r="T26" s="16" t="s">
        <v>261</v>
      </c>
      <c r="U26" s="17"/>
      <c r="V26" s="212">
        <f>NumberTo9(ConvertLettersToNumber(CONCATENATE(LastName,FirstName,MiddleName),Alphabet))</f>
        <v>8</v>
      </c>
      <c r="X26" s="330" t="s">
        <v>42</v>
      </c>
      <c r="Y26" s="759" t="str">
        <f>CONCATENATE("0-",36-SumNumbers(WorkNum_2))</f>
        <v>0-30</v>
      </c>
      <c r="Z26" s="760"/>
      <c r="AA26" s="759" t="str">
        <f>CONCATENATE(36-SumNumbers(WorkNum_2)+1,"-",36-SumNumbers(WorkNum_2)+9)</f>
        <v>31-39</v>
      </c>
      <c r="AB26" s="760"/>
      <c r="AC26" s="759" t="str">
        <f>CONCATENATE(36-SumNumbers(WorkNum_2)+10,"-",36-SumNumbers(WorkNum_2)+18)</f>
        <v>40-48</v>
      </c>
      <c r="AD26" s="760"/>
      <c r="AE26" s="759" t="str">
        <f>CONCATENATE(36-SumNumbers(WorkNum_2)+19,"-и далее")</f>
        <v>49-и далее</v>
      </c>
      <c r="AF26" s="760"/>
      <c r="AG26" s="759" t="s">
        <v>43</v>
      </c>
      <c r="AH26" s="760"/>
      <c r="AI26" s="336" t="s">
        <v>43</v>
      </c>
      <c r="AK26" s="666" t="s">
        <v>386</v>
      </c>
      <c r="AL26" s="666"/>
      <c r="AM26" s="666"/>
      <c r="BM26">
        <f ca="1">YEAR(DATE(YEAR(TODAY()),DOB_Month,DOB_Day))</f>
        <v>2022</v>
      </c>
      <c r="BN26">
        <v>0</v>
      </c>
      <c r="BO26">
        <f ca="1">IF(BM27&lt;&gt;0,BM26-BM27,BM26)</f>
        <v>2019</v>
      </c>
      <c r="BP26" t="str">
        <f ca="1">VLOOKUP(BO26,BT4:BV87,3,FALSE)</f>
        <v>-</v>
      </c>
      <c r="BT26">
        <f t="shared" si="3"/>
        <v>2011</v>
      </c>
      <c r="BU26">
        <v>4</v>
      </c>
      <c r="BV26" t="s">
        <v>621</v>
      </c>
    </row>
    <row r="27" spans="1:74" ht="15" customHeight="1" thickBot="1" x14ac:dyDescent="0.3">
      <c r="X27" s="337" t="s">
        <v>46</v>
      </c>
      <c r="Y27" s="342" t="str">
        <f>CONCATENATE(OPV_DOP, ", ", OPV)</f>
        <v>0, 3</v>
      </c>
      <c r="Z27" s="319" t="str">
        <f>CONCATENATE(OPV_DOP, ", ", OPV)</f>
        <v>0, 3</v>
      </c>
      <c r="AA27" s="342">
        <f>KN_2</f>
        <v>1</v>
      </c>
      <c r="AB27" s="319">
        <f>KN_2</f>
        <v>1</v>
      </c>
      <c r="AC27" s="342">
        <f>KN_3</f>
        <v>2</v>
      </c>
      <c r="AD27" s="319">
        <f>KN_3</f>
        <v>2</v>
      </c>
      <c r="AE27" s="342">
        <f>KN_4</f>
        <v>2</v>
      </c>
      <c r="AF27" s="319">
        <f>KN_4</f>
        <v>2</v>
      </c>
      <c r="AG27" s="342">
        <f>KN_Main</f>
        <v>8</v>
      </c>
      <c r="AH27" s="319">
        <f>KN_Main</f>
        <v>8</v>
      </c>
      <c r="AK27" s="766" t="s">
        <v>370</v>
      </c>
      <c r="AL27" s="767"/>
      <c r="AM27" s="767"/>
      <c r="AN27" s="278">
        <f>numberto22(SumNumbersStr(AK27))</f>
        <v>17</v>
      </c>
      <c r="AO27" s="284">
        <f>COUNTIF($Z$25:$AG$25,AN27)</f>
        <v>0</v>
      </c>
      <c r="AW27" s="410" t="s">
        <v>790</v>
      </c>
      <c r="BM27">
        <f ca="1">VLOOKUP(BM26,BT4:BU87,2,FALSE)</f>
        <v>3</v>
      </c>
      <c r="BN27">
        <v>1</v>
      </c>
      <c r="BO27">
        <f ca="1">BO26+1</f>
        <v>2020</v>
      </c>
      <c r="BP27" t="str">
        <f t="shared" ref="BP27:BP37" ca="1" si="6">VLOOKUP(BO27,BT5:BV88,3,FALSE)</f>
        <v>-</v>
      </c>
      <c r="BT27">
        <f t="shared" si="3"/>
        <v>2012</v>
      </c>
      <c r="BU27">
        <v>5</v>
      </c>
      <c r="BV27" t="s">
        <v>621</v>
      </c>
    </row>
    <row r="28" spans="1:74" ht="15.75" customHeight="1" thickBot="1" x14ac:dyDescent="0.3">
      <c r="T28" s="60" t="s">
        <v>374</v>
      </c>
      <c r="U28" s="72"/>
      <c r="V28" s="210">
        <f>NumberTo9(SumNumbers(DOB_Day))</f>
        <v>8</v>
      </c>
      <c r="X28" s="338" t="s">
        <v>10</v>
      </c>
      <c r="Y28" s="343" t="str">
        <f>CONCATENATE(OPV_DOP, ", ", OPV)</f>
        <v>0, 3</v>
      </c>
      <c r="Z28" s="320">
        <f>KN_2</f>
        <v>1</v>
      </c>
      <c r="AA28" s="343">
        <f>KN_2</f>
        <v>1</v>
      </c>
      <c r="AB28" s="320">
        <f>KN_3</f>
        <v>2</v>
      </c>
      <c r="AC28" s="343">
        <f>KN_3</f>
        <v>2</v>
      </c>
      <c r="AD28" s="320">
        <f>KN_4</f>
        <v>2</v>
      </c>
      <c r="AE28" s="343">
        <f>KN_4</f>
        <v>2</v>
      </c>
      <c r="AF28" s="320">
        <f>KN_Main</f>
        <v>8</v>
      </c>
      <c r="AG28" s="343">
        <f>KN_Main</f>
        <v>8</v>
      </c>
      <c r="AH28" s="320" t="str">
        <f>CONCATENATE(OPV_DOP, ", ", OPV)</f>
        <v>0, 3</v>
      </c>
      <c r="BN28">
        <v>2</v>
      </c>
      <c r="BO28">
        <f t="shared" ref="BO28:BO37" ca="1" si="7">BO27+1</f>
        <v>2021</v>
      </c>
      <c r="BP28" t="str">
        <f t="shared" ca="1" si="6"/>
        <v>-</v>
      </c>
      <c r="BT28">
        <f t="shared" si="3"/>
        <v>2013</v>
      </c>
      <c r="BU28">
        <v>0</v>
      </c>
      <c r="BV28" t="s">
        <v>182</v>
      </c>
    </row>
    <row r="29" spans="1:74" ht="19.5" thickBot="1" x14ac:dyDescent="0.35">
      <c r="T29" s="62" t="s">
        <v>375</v>
      </c>
      <c r="U29" s="68"/>
      <c r="V29" s="211">
        <f>NumberTo9(SumNumbers(DOB_Month))</f>
        <v>7</v>
      </c>
      <c r="X29" s="339" t="s">
        <v>702</v>
      </c>
      <c r="Y29" s="344" t="str">
        <f>CONCATENATE(OPV_DOP, ", ", OPV)</f>
        <v>0, 3</v>
      </c>
      <c r="Z29" s="321">
        <f>KN_3</f>
        <v>2</v>
      </c>
      <c r="AA29" s="344">
        <f>KN_2</f>
        <v>1</v>
      </c>
      <c r="AB29" s="321">
        <f>KN_4</f>
        <v>2</v>
      </c>
      <c r="AC29" s="344">
        <f>KN_3</f>
        <v>2</v>
      </c>
      <c r="AD29" s="321">
        <f>KN_Main</f>
        <v>8</v>
      </c>
      <c r="AE29" s="344">
        <f>KN_4</f>
        <v>2</v>
      </c>
      <c r="AF29" s="321" t="str">
        <f>CONCATENATE(OPV_DOP, ", ", OPV)</f>
        <v>0, 3</v>
      </c>
      <c r="AG29" s="344">
        <f>KN_Main</f>
        <v>8</v>
      </c>
      <c r="AH29" s="321">
        <f>KN_2</f>
        <v>1</v>
      </c>
      <c r="AK29" s="763" t="s">
        <v>360</v>
      </c>
      <c r="AL29" s="763"/>
      <c r="AM29" s="763"/>
      <c r="AN29" s="763"/>
      <c r="AO29" s="763"/>
      <c r="AP29" s="763"/>
      <c r="AQ29" s="763"/>
      <c r="AT29" s="410" t="s">
        <v>784</v>
      </c>
      <c r="AW29" s="410" t="s">
        <v>791</v>
      </c>
      <c r="AZ29" s="410" t="s">
        <v>792</v>
      </c>
      <c r="BN29">
        <v>3</v>
      </c>
      <c r="BO29">
        <f t="shared" ca="1" si="7"/>
        <v>2022</v>
      </c>
      <c r="BP29" t="str">
        <f t="shared" ca="1" si="6"/>
        <v>-</v>
      </c>
      <c r="BT29">
        <f t="shared" si="3"/>
        <v>2014</v>
      </c>
      <c r="BU29">
        <v>1</v>
      </c>
      <c r="BV29" t="s">
        <v>182</v>
      </c>
    </row>
    <row r="30" spans="1:74" ht="15.75" thickBot="1" x14ac:dyDescent="0.3">
      <c r="T30" s="16" t="s">
        <v>376</v>
      </c>
      <c r="U30" s="17"/>
      <c r="V30" s="212">
        <f>NumberTo9(SumNumbers(DOB_Year))</f>
        <v>9</v>
      </c>
      <c r="X30" s="340" t="s">
        <v>701</v>
      </c>
      <c r="Y30" s="345" t="str">
        <f>CONCATENATE(OPV_DOP, ", ", OPV)</f>
        <v>0, 3</v>
      </c>
      <c r="Z30" s="322">
        <f>KN_4</f>
        <v>2</v>
      </c>
      <c r="AA30" s="345">
        <f>KN_2</f>
        <v>1</v>
      </c>
      <c r="AB30" s="322">
        <f>KN_Main</f>
        <v>8</v>
      </c>
      <c r="AC30" s="345">
        <f>KN_3</f>
        <v>2</v>
      </c>
      <c r="AD30" s="322" t="str">
        <f>CONCATENATE(OPV_DOP, ", ", OPV)</f>
        <v>0, 3</v>
      </c>
      <c r="AE30" s="345">
        <f>KN_4</f>
        <v>2</v>
      </c>
      <c r="AF30" s="322">
        <f>KN_2</f>
        <v>1</v>
      </c>
      <c r="AG30" s="345">
        <f>KN_Main</f>
        <v>8</v>
      </c>
      <c r="AH30" s="322">
        <f>KN_3</f>
        <v>2</v>
      </c>
      <c r="AJ30" t="s">
        <v>269</v>
      </c>
      <c r="AK30" s="660" t="s">
        <v>235</v>
      </c>
      <c r="AL30" s="660"/>
      <c r="AM30" s="660"/>
      <c r="AO30" s="660" t="s">
        <v>238</v>
      </c>
      <c r="AP30" s="660"/>
      <c r="AQ30" s="660"/>
      <c r="BN30">
        <v>4</v>
      </c>
      <c r="BO30">
        <f t="shared" ca="1" si="7"/>
        <v>2023</v>
      </c>
      <c r="BP30" t="str">
        <f t="shared" ca="1" si="6"/>
        <v>-</v>
      </c>
      <c r="BT30">
        <f t="shared" si="3"/>
        <v>2015</v>
      </c>
      <c r="BU30">
        <v>2</v>
      </c>
      <c r="BV30" t="s">
        <v>182</v>
      </c>
    </row>
    <row r="31" spans="1:74" ht="15" customHeight="1" thickBot="1" x14ac:dyDescent="0.3">
      <c r="X31" s="341" t="s">
        <v>703</v>
      </c>
      <c r="Y31" s="346" t="str">
        <f>CONCATENATE(OPV_DOP, ", ", OPV)</f>
        <v>0, 3</v>
      </c>
      <c r="Z31" s="323">
        <f>KN_Main</f>
        <v>8</v>
      </c>
      <c r="AA31" s="346">
        <f>KN_2</f>
        <v>1</v>
      </c>
      <c r="AB31" s="323" t="str">
        <f>CONCATENATE(OPV_DOP, ", ", OPV)</f>
        <v>0, 3</v>
      </c>
      <c r="AC31" s="346">
        <f>KN_3</f>
        <v>2</v>
      </c>
      <c r="AD31" s="323">
        <f>KN_2</f>
        <v>1</v>
      </c>
      <c r="AE31" s="346">
        <f>KN_4</f>
        <v>2</v>
      </c>
      <c r="AF31" s="323">
        <f>KN_3</f>
        <v>2</v>
      </c>
      <c r="AG31" s="346">
        <f>KN_Main</f>
        <v>8</v>
      </c>
      <c r="AH31" s="323">
        <f>KN_4</f>
        <v>2</v>
      </c>
      <c r="AK31" s="191" t="str">
        <f t="shared" ref="AK31:AM33" si="8">X49</f>
        <v>нет</v>
      </c>
      <c r="AL31" s="202" t="str">
        <f t="shared" si="8"/>
        <v xml:space="preserve">6 </v>
      </c>
      <c r="AM31" s="193" t="str">
        <f t="shared" si="8"/>
        <v xml:space="preserve">9 9 </v>
      </c>
      <c r="AO31" s="191" t="str">
        <f t="shared" ref="AO31:AQ33" si="9">AB49</f>
        <v xml:space="preserve">4 4 </v>
      </c>
      <c r="AP31" s="202" t="str">
        <f t="shared" si="9"/>
        <v>нет</v>
      </c>
      <c r="AQ31" s="193" t="str">
        <f t="shared" si="9"/>
        <v xml:space="preserve">2 </v>
      </c>
      <c r="AT31" t="s">
        <v>797</v>
      </c>
      <c r="AW31" t="s">
        <v>794</v>
      </c>
      <c r="AZ31" t="s">
        <v>804</v>
      </c>
      <c r="BN31">
        <v>5</v>
      </c>
      <c r="BO31">
        <f t="shared" ca="1" si="7"/>
        <v>2024</v>
      </c>
      <c r="BP31" t="str">
        <f t="shared" ca="1" si="6"/>
        <v>-</v>
      </c>
      <c r="BT31">
        <f t="shared" si="3"/>
        <v>2016</v>
      </c>
      <c r="BU31">
        <v>3</v>
      </c>
      <c r="BV31" t="s">
        <v>182</v>
      </c>
    </row>
    <row r="32" spans="1:74" ht="15.75" thickBot="1" x14ac:dyDescent="0.3">
      <c r="T32" s="214" t="s">
        <v>347</v>
      </c>
      <c r="U32" s="215"/>
      <c r="V32" s="216">
        <f>numberto22(2*TaroDay+4*TaroMonth+2*TaroYear)</f>
        <v>2</v>
      </c>
      <c r="AK32" s="203" t="str">
        <f t="shared" si="8"/>
        <v xml:space="preserve">2 </v>
      </c>
      <c r="AL32" s="189" t="str">
        <f t="shared" si="8"/>
        <v>нет</v>
      </c>
      <c r="AM32" s="204" t="str">
        <f t="shared" si="8"/>
        <v xml:space="preserve">8 </v>
      </c>
      <c r="AO32" s="203" t="str">
        <f t="shared" si="9"/>
        <v>нет</v>
      </c>
      <c r="AP32" s="189" t="str">
        <f t="shared" si="9"/>
        <v>нет</v>
      </c>
      <c r="AQ32" s="204" t="str">
        <f t="shared" si="9"/>
        <v xml:space="preserve">7 </v>
      </c>
      <c r="AT32" t="s">
        <v>798</v>
      </c>
      <c r="AW32" t="s">
        <v>793</v>
      </c>
      <c r="AZ32" t="s">
        <v>803</v>
      </c>
      <c r="BB32" s="180" t="str">
        <f>IF(CountNumber(X47,6)&gt;0, "6", "-")</f>
        <v>6</v>
      </c>
      <c r="BC32" s="196" t="str">
        <f>IF(CountNumber(X47,9)&gt;0, "9", "-")</f>
        <v>9</v>
      </c>
      <c r="BD32" s="179" t="str">
        <f>IF(CountNumber(AB47,4)&gt;0, "4", "-")</f>
        <v>4</v>
      </c>
      <c r="BE32" s="180" t="str">
        <f>IF(CountNumber(AB47,9)&gt;0, "9", "-")</f>
        <v>-</v>
      </c>
      <c r="BF32" s="181" t="str">
        <f>IF(CountNumber(AB47,2)&gt;0, "2", "-")</f>
        <v>2</v>
      </c>
      <c r="BN32">
        <v>0</v>
      </c>
      <c r="BO32">
        <f t="shared" ca="1" si="7"/>
        <v>2025</v>
      </c>
      <c r="BP32" t="str">
        <f t="shared" ca="1" si="6"/>
        <v>+</v>
      </c>
      <c r="BT32">
        <f t="shared" si="3"/>
        <v>2017</v>
      </c>
      <c r="BU32">
        <v>4</v>
      </c>
      <c r="BV32" t="s">
        <v>182</v>
      </c>
    </row>
    <row r="33" spans="8:74" ht="15.75" customHeight="1" thickBot="1" x14ac:dyDescent="0.3">
      <c r="L33" s="291">
        <f>I36+5</f>
        <v>35</v>
      </c>
      <c r="T33" t="s">
        <v>348</v>
      </c>
      <c r="X33" s="314" t="s">
        <v>228</v>
      </c>
      <c r="Y33" s="315">
        <v>0</v>
      </c>
      <c r="Z33" s="315">
        <v>1</v>
      </c>
      <c r="AA33" s="315">
        <v>2</v>
      </c>
      <c r="AB33" s="315">
        <v>3</v>
      </c>
      <c r="AC33" s="315">
        <v>4</v>
      </c>
      <c r="AD33" s="316">
        <v>5</v>
      </c>
      <c r="AK33" s="190" t="str">
        <f t="shared" si="8"/>
        <v xml:space="preserve">1 </v>
      </c>
      <c r="AL33" s="205" t="str">
        <f t="shared" si="8"/>
        <v>4</v>
      </c>
      <c r="AM33" s="192" t="str">
        <f t="shared" si="8"/>
        <v xml:space="preserve">7 </v>
      </c>
      <c r="AO33" s="190" t="str">
        <f t="shared" si="9"/>
        <v xml:space="preserve">8 </v>
      </c>
      <c r="AP33" s="205" t="str">
        <f t="shared" si="9"/>
        <v>нет</v>
      </c>
      <c r="AQ33" s="192" t="str">
        <f t="shared" si="9"/>
        <v xml:space="preserve">6 6 </v>
      </c>
      <c r="AT33" t="s">
        <v>799</v>
      </c>
      <c r="AW33" t="s">
        <v>795</v>
      </c>
      <c r="AZ33" t="s">
        <v>801</v>
      </c>
      <c r="BB33" s="187" t="str">
        <f>IF(CountNumber(X47,5)&gt;0, "5", "-")</f>
        <v>-</v>
      </c>
      <c r="BC33" s="197" t="str">
        <f>IF(CountNumber(X47,8)&gt;0, "8", "-")</f>
        <v>8</v>
      </c>
      <c r="BD33" s="182" t="str">
        <f>IF(CountNumber(AB47,3)&gt;0, "3", "-")</f>
        <v>-</v>
      </c>
      <c r="BE33" s="187" t="str">
        <f>IF(CountNumber(AB47,5)&gt;0, "5", "-")</f>
        <v>-</v>
      </c>
      <c r="BF33" s="183" t="str">
        <f>IF(CountNumber(AB47,7)&gt;0, "7", "-")</f>
        <v>7</v>
      </c>
      <c r="BN33">
        <v>1</v>
      </c>
      <c r="BO33">
        <f t="shared" ca="1" si="7"/>
        <v>2026</v>
      </c>
      <c r="BP33" t="str">
        <f t="shared" ca="1" si="6"/>
        <v>+</v>
      </c>
      <c r="BT33">
        <f t="shared" si="3"/>
        <v>2018</v>
      </c>
      <c r="BU33">
        <v>5</v>
      </c>
      <c r="BV33" t="s">
        <v>182</v>
      </c>
    </row>
    <row r="34" spans="8:74" ht="15.75" thickBot="1" x14ac:dyDescent="0.3">
      <c r="X34" s="262" t="s">
        <v>12</v>
      </c>
      <c r="Y34" s="348">
        <f t="shared" ref="Y34:AD34" ca="1" si="10">VLOOKUP(Y33,$BN$26:$BO$31,2,FALSE)</f>
        <v>2019</v>
      </c>
      <c r="Z34" s="348">
        <f t="shared" ca="1" si="10"/>
        <v>2020</v>
      </c>
      <c r="AA34" s="348">
        <f t="shared" ca="1" si="10"/>
        <v>2021</v>
      </c>
      <c r="AB34" s="348">
        <f t="shared" ca="1" si="10"/>
        <v>2022</v>
      </c>
      <c r="AC34" s="348">
        <f t="shared" ca="1" si="10"/>
        <v>2023</v>
      </c>
      <c r="AD34" s="350">
        <f t="shared" ca="1" si="10"/>
        <v>2024</v>
      </c>
      <c r="AK34" s="646" t="s">
        <v>461</v>
      </c>
      <c r="AL34" s="646"/>
      <c r="AM34" s="646"/>
      <c r="AO34" s="646" t="s">
        <v>241</v>
      </c>
      <c r="AP34" s="646"/>
      <c r="AQ34" s="646"/>
      <c r="AT34" t="s">
        <v>800</v>
      </c>
      <c r="AW34" t="s">
        <v>796</v>
      </c>
      <c r="AZ34" t="s">
        <v>802</v>
      </c>
      <c r="BB34" s="195" t="str">
        <f>IF(CountNumber(X47,4)&gt;0, "4", "-")</f>
        <v>4</v>
      </c>
      <c r="BC34" s="218" t="str">
        <f>IF(CountNumber(X47,7)&gt;0, "7", "-")</f>
        <v>7</v>
      </c>
      <c r="BD34" s="184" t="str">
        <f>IF(CountNumber(AB47,8)&gt;0, "8", "-")</f>
        <v>8</v>
      </c>
      <c r="BE34" s="185" t="str">
        <f>IF(CountNumber(AB47,1)&gt;0, "1", "-")</f>
        <v>-</v>
      </c>
      <c r="BF34" s="186" t="str">
        <f>IF(CountNumber(AB47,6)&gt;0, "6", "-")</f>
        <v>6</v>
      </c>
      <c r="BN34">
        <v>2</v>
      </c>
      <c r="BO34">
        <f t="shared" ca="1" si="7"/>
        <v>2027</v>
      </c>
      <c r="BP34" t="str">
        <f t="shared" ca="1" si="6"/>
        <v>+</v>
      </c>
      <c r="BT34">
        <f t="shared" si="3"/>
        <v>2019</v>
      </c>
      <c r="BU34">
        <v>0</v>
      </c>
      <c r="BV34" t="s">
        <v>621</v>
      </c>
    </row>
    <row r="35" spans="8:74" ht="15" customHeight="1" x14ac:dyDescent="0.25">
      <c r="L35" s="291">
        <f>KN_Main</f>
        <v>8</v>
      </c>
      <c r="T35" t="s">
        <v>349</v>
      </c>
      <c r="V35" s="66">
        <f>numberto22(4*TaroDay+2*TaroMonth+4*TaroYear)</f>
        <v>6</v>
      </c>
      <c r="X35" s="324" t="s">
        <v>38</v>
      </c>
      <c r="Y35" s="189" t="str">
        <f>CONCATENATE(Y24, ", ", Z24)</f>
        <v>4, 11</v>
      </c>
      <c r="Z35" s="189">
        <f>AA24</f>
        <v>9</v>
      </c>
      <c r="AA35" s="189">
        <f>AC24</f>
        <v>20</v>
      </c>
      <c r="AB35" s="189">
        <f>AE24</f>
        <v>12</v>
      </c>
      <c r="AC35" s="189">
        <f>AG24</f>
        <v>8</v>
      </c>
      <c r="AD35" s="325" t="str">
        <f>CONCATENATE(Y24, ", ", Z24)</f>
        <v>4, 11</v>
      </c>
      <c r="AK35" s="191" t="str">
        <f t="shared" ref="AK35:AM37" si="11">X54</f>
        <v xml:space="preserve">1 1 1 </v>
      </c>
      <c r="AL35" s="202" t="str">
        <f t="shared" si="11"/>
        <v xml:space="preserve">4 </v>
      </c>
      <c r="AM35" s="193" t="str">
        <f t="shared" si="11"/>
        <v xml:space="preserve">7 </v>
      </c>
      <c r="AO35" s="191" t="str">
        <f t="shared" ref="AO35:AQ37" si="12">AB54</f>
        <v xml:space="preserve">1 1 1 </v>
      </c>
      <c r="AP35" s="202" t="str">
        <f t="shared" si="12"/>
        <v>нет</v>
      </c>
      <c r="AQ35" s="193" t="str">
        <f t="shared" si="12"/>
        <v xml:space="preserve">3 3 3 3 </v>
      </c>
      <c r="BA35" s="182" t="str">
        <f>IF(CountNumber(X52,2)&gt;0, "2", "-")</f>
        <v>2</v>
      </c>
      <c r="BB35" s="187" t="str">
        <f>IF(CountNumber(X52,5)&gt;0, "5", "-")</f>
        <v>-</v>
      </c>
      <c r="BC35" s="183" t="str">
        <f>IF(CountNumber(X52,8)&gt;0, "8", "-")</f>
        <v>8</v>
      </c>
      <c r="BD35" s="194" t="str">
        <f>IF(CountNumber(AB52,4)&gt;0,"4", "-")</f>
        <v>4</v>
      </c>
      <c r="BE35" s="219" t="str">
        <f>IF(CountNumber(AB52,5)&gt;0,"5", "-")</f>
        <v>5</v>
      </c>
      <c r="BF35" s="198" t="str">
        <f>IF(CountNumber(AB52,6)&gt;0,"6", "-")</f>
        <v>6</v>
      </c>
      <c r="BN35">
        <v>3</v>
      </c>
      <c r="BO35">
        <f t="shared" ca="1" si="7"/>
        <v>2028</v>
      </c>
      <c r="BP35" t="str">
        <f t="shared" ca="1" si="6"/>
        <v>+</v>
      </c>
      <c r="BT35">
        <f t="shared" si="3"/>
        <v>2020</v>
      </c>
      <c r="BU35">
        <v>1</v>
      </c>
      <c r="BV35" t="s">
        <v>621</v>
      </c>
    </row>
    <row r="36" spans="8:74" ht="15.75" customHeight="1" thickBot="1" x14ac:dyDescent="0.3">
      <c r="I36">
        <f>36-SumNumbers(WorkNum_2)</f>
        <v>30</v>
      </c>
      <c r="O36" s="292">
        <f>36-SumNumbers(WorkNum_2)+9</f>
        <v>39</v>
      </c>
      <c r="X36" s="351" t="s">
        <v>46</v>
      </c>
      <c r="Y36" s="349" t="str">
        <f>CONCATENATE( OPV_DOP,", ",OPV, ", ",KN_Main)</f>
        <v>0, 3, 8</v>
      </c>
      <c r="Z36" s="349" t="str">
        <f>CONCATENATE(KN_2, ", ", KN_Main)</f>
        <v>1, 8</v>
      </c>
      <c r="AA36" s="349" t="str">
        <f>CONCATENATE(KN_3, ", ",KN_Main)</f>
        <v>2, 8</v>
      </c>
      <c r="AB36" s="349" t="str">
        <f>CONCATENATE(KN_4, ", ", KN_Main)</f>
        <v>2, 8</v>
      </c>
      <c r="AC36" s="349">
        <f>KN_Main</f>
        <v>8</v>
      </c>
      <c r="AD36" s="352" t="str">
        <f>CONCATENATE( OPV_DOP,", ",OPV, ", ",KN_Main)</f>
        <v>0, 3, 8</v>
      </c>
      <c r="AK36" s="203" t="str">
        <f t="shared" si="11"/>
        <v xml:space="preserve">2 2 </v>
      </c>
      <c r="AL36" s="189" t="str">
        <f t="shared" si="11"/>
        <v>нет</v>
      </c>
      <c r="AM36" s="204" t="str">
        <f t="shared" si="11"/>
        <v xml:space="preserve">8 8 </v>
      </c>
      <c r="AO36" s="203" t="str">
        <f t="shared" si="12"/>
        <v xml:space="preserve">4 4 </v>
      </c>
      <c r="AP36" s="189" t="str">
        <f t="shared" si="12"/>
        <v xml:space="preserve">5 </v>
      </c>
      <c r="AQ36" s="204" t="str">
        <f t="shared" si="12"/>
        <v xml:space="preserve">6 6 6 6 6 6 6 6 6 6 6 6 </v>
      </c>
      <c r="BA36" s="184" t="str">
        <f>IF(CountNumber(X52,3)&gt;0, "3", "-")</f>
        <v>3</v>
      </c>
      <c r="BB36" s="185" t="str">
        <f>IF(CountNumber(X52,6)&gt;0, "6", "-")</f>
        <v>6</v>
      </c>
      <c r="BC36" s="186" t="str">
        <f>IF(CountNumber(X52,9)&gt;0, "9", "-")</f>
        <v>9</v>
      </c>
      <c r="BD36" s="199" t="str">
        <f>IF(CountNumber(AB52,7)&gt;0,"7", "-")</f>
        <v>7</v>
      </c>
      <c r="BE36" s="200" t="str">
        <f>IF(CountNumber(AB52,8)&gt;0,"8", "-")</f>
        <v>-</v>
      </c>
      <c r="BF36" s="201" t="str">
        <f>IF(CountNumber(AB52,9)&gt;0,"9", "-")</f>
        <v>9</v>
      </c>
      <c r="BN36">
        <v>4</v>
      </c>
      <c r="BO36">
        <f t="shared" ca="1" si="7"/>
        <v>2029</v>
      </c>
      <c r="BP36" t="str">
        <f t="shared" ca="1" si="6"/>
        <v>+</v>
      </c>
      <c r="BT36">
        <f t="shared" si="3"/>
        <v>2021</v>
      </c>
      <c r="BU36">
        <v>2</v>
      </c>
      <c r="BV36" t="s">
        <v>621</v>
      </c>
    </row>
    <row r="37" spans="8:74" ht="15.75" thickBot="1" x14ac:dyDescent="0.3">
      <c r="J37" s="291">
        <f>KN_2</f>
        <v>1</v>
      </c>
      <c r="N37" s="291">
        <f>KN_3</f>
        <v>2</v>
      </c>
      <c r="T37" s="214" t="s">
        <v>253</v>
      </c>
      <c r="U37" s="215"/>
      <c r="V37" s="216">
        <f>SumNumbers(T38)</f>
        <v>27</v>
      </c>
      <c r="W37" t="s">
        <v>256</v>
      </c>
      <c r="X37" s="353" t="s">
        <v>704</v>
      </c>
      <c r="Y37" s="354" t="str">
        <f ca="1">VLOOKUP(Y33,$BN$26:$BP$31,3,FALSE)</f>
        <v>-</v>
      </c>
      <c r="Z37" s="354" t="str">
        <f t="shared" ref="Z37:AD37" ca="1" si="13">VLOOKUP(Z33,$BN$26:$BP$31,3,FALSE)</f>
        <v>-</v>
      </c>
      <c r="AA37" s="354" t="str">
        <f t="shared" ca="1" si="13"/>
        <v>-</v>
      </c>
      <c r="AB37" s="354" t="str">
        <f t="shared" ca="1" si="13"/>
        <v>-</v>
      </c>
      <c r="AC37" s="354" t="str">
        <f t="shared" ca="1" si="13"/>
        <v>-</v>
      </c>
      <c r="AD37" s="355" t="str">
        <f t="shared" ca="1" si="13"/>
        <v>-</v>
      </c>
      <c r="AK37" s="190" t="str">
        <f t="shared" si="11"/>
        <v xml:space="preserve">3 </v>
      </c>
      <c r="AL37" s="205" t="str">
        <f t="shared" si="11"/>
        <v xml:space="preserve">6 6 </v>
      </c>
      <c r="AM37" s="192" t="str">
        <f t="shared" si="11"/>
        <v xml:space="preserve">9 9 </v>
      </c>
      <c r="AO37" s="190" t="str">
        <f t="shared" si="12"/>
        <v xml:space="preserve">7 </v>
      </c>
      <c r="AP37" s="205" t="str">
        <f t="shared" si="12"/>
        <v>нет</v>
      </c>
      <c r="AQ37" s="192" t="str">
        <f t="shared" si="12"/>
        <v xml:space="preserve">9 </v>
      </c>
      <c r="BN37">
        <v>5</v>
      </c>
      <c r="BO37">
        <f t="shared" ca="1" si="7"/>
        <v>2030</v>
      </c>
      <c r="BP37" t="str">
        <f t="shared" ca="1" si="6"/>
        <v>+</v>
      </c>
      <c r="BT37">
        <f t="shared" si="3"/>
        <v>2022</v>
      </c>
      <c r="BU37">
        <v>3</v>
      </c>
      <c r="BV37" t="s">
        <v>621</v>
      </c>
    </row>
    <row r="38" spans="8:74" ht="16.5" thickTop="1" thickBot="1" x14ac:dyDescent="0.3">
      <c r="L38" s="291">
        <f>AA24</f>
        <v>9</v>
      </c>
      <c r="T38">
        <f>DOB_Year*CONCATENATE(DOB_Day,TEXT(DOB_Month,"00"))</f>
        <v>5185323</v>
      </c>
      <c r="U38" t="str">
        <f>T38&amp;REPT("0",7-LEN(T38))</f>
        <v>5185323</v>
      </c>
      <c r="X38" s="262" t="s">
        <v>12</v>
      </c>
      <c r="Y38" s="348">
        <f ca="1">VLOOKUP(Y33,$BN$32:$BO$37,2,FALSE)</f>
        <v>2025</v>
      </c>
      <c r="Z38" s="348">
        <f t="shared" ref="Z38:AD38" ca="1" si="14">VLOOKUP(Z33,$BN$32:$BO$37,2,FALSE)</f>
        <v>2026</v>
      </c>
      <c r="AA38" s="348">
        <f t="shared" ca="1" si="14"/>
        <v>2027</v>
      </c>
      <c r="AB38" s="348">
        <f t="shared" ca="1" si="14"/>
        <v>2028</v>
      </c>
      <c r="AC38" s="348">
        <f t="shared" ca="1" si="14"/>
        <v>2029</v>
      </c>
      <c r="AD38" s="350">
        <f t="shared" ca="1" si="14"/>
        <v>2030</v>
      </c>
      <c r="BA38" s="663" t="s">
        <v>412</v>
      </c>
      <c r="BB38" s="663"/>
      <c r="BC38" s="663"/>
      <c r="BD38" s="223" t="s">
        <v>172</v>
      </c>
      <c r="BE38" s="223" t="s">
        <v>413</v>
      </c>
      <c r="BT38">
        <f t="shared" si="3"/>
        <v>2023</v>
      </c>
      <c r="BU38">
        <v>4</v>
      </c>
      <c r="BV38" t="s">
        <v>621</v>
      </c>
    </row>
    <row r="39" spans="8:74" ht="15.75" customHeight="1" thickTop="1" x14ac:dyDescent="0.25">
      <c r="X39" s="324" t="s">
        <v>38</v>
      </c>
      <c r="Y39" s="189" t="str">
        <f>CONCATENATE(Y24, ", ", Z24)</f>
        <v>4, 11</v>
      </c>
      <c r="Z39" s="189">
        <f>AA24</f>
        <v>9</v>
      </c>
      <c r="AA39" s="189">
        <f>AC24</f>
        <v>20</v>
      </c>
      <c r="AB39" s="189">
        <f>AE24</f>
        <v>12</v>
      </c>
      <c r="AC39" s="189">
        <f>AG28</f>
        <v>8</v>
      </c>
      <c r="AD39" s="325" t="str">
        <f>CONCATENATE(Y28, ", ", Z28)</f>
        <v>0, 3, 1</v>
      </c>
      <c r="AK39" s="670" t="s">
        <v>377</v>
      </c>
      <c r="AL39" s="671"/>
      <c r="AM39" s="181" t="str">
        <f>AK33</f>
        <v xml:space="preserve">1 </v>
      </c>
      <c r="AN39" t="s">
        <v>651</v>
      </c>
      <c r="BA39" s="661" t="s">
        <v>387</v>
      </c>
      <c r="BB39" s="661"/>
      <c r="BC39" s="661"/>
      <c r="BD39" s="222" t="e">
        <f>LEN(SUBSTITUTE(CONCATENATE(#REF!,#REF!,#REF!,#REF!,BA35,BA36),"-",""))</f>
        <v>#REF!</v>
      </c>
      <c r="BE39" s="224" t="e">
        <f t="shared" ref="BE39:BE50" si="15">IF(BD39&gt;=4, "Да", "Нет")</f>
        <v>#REF!</v>
      </c>
      <c r="BF39" t="s">
        <v>388</v>
      </c>
      <c r="BT39">
        <f t="shared" si="3"/>
        <v>2024</v>
      </c>
      <c r="BU39">
        <v>5</v>
      </c>
      <c r="BV39" t="s">
        <v>621</v>
      </c>
    </row>
    <row r="40" spans="8:74" ht="15" customHeight="1" thickBot="1" x14ac:dyDescent="0.3">
      <c r="H40">
        <f>ROUNDDOWN(I36/2,0)</f>
        <v>15</v>
      </c>
      <c r="I40" s="291">
        <f>TaroMonth</f>
        <v>7</v>
      </c>
      <c r="K40" s="291">
        <f>TP</f>
        <v>11</v>
      </c>
      <c r="L40" s="291">
        <f>TaroDay</f>
        <v>4</v>
      </c>
      <c r="M40" s="291">
        <f>AC24</f>
        <v>20</v>
      </c>
      <c r="O40" s="291">
        <f>TaroYear</f>
        <v>5</v>
      </c>
      <c r="P40" s="292">
        <f>O36+5</f>
        <v>44</v>
      </c>
      <c r="X40" s="351" t="s">
        <v>46</v>
      </c>
      <c r="Y40" s="349" t="str">
        <f>CONCATENATE( OPV_DOP,", ",OPV, ", ",KN_Main)</f>
        <v>0, 3, 8</v>
      </c>
      <c r="Z40" s="349" t="str">
        <f>CONCATENATE(KN_2, ", ", KN_Main)</f>
        <v>1, 8</v>
      </c>
      <c r="AA40" s="349" t="str">
        <f>CONCATENATE(KN_3, ", ",KN_Main)</f>
        <v>2, 8</v>
      </c>
      <c r="AB40" s="349" t="str">
        <f>CONCATENATE(KN_4, ", ", KN_Main)</f>
        <v>2, 8</v>
      </c>
      <c r="AC40" s="349">
        <f>KN_Main</f>
        <v>8</v>
      </c>
      <c r="AD40" s="352" t="str">
        <f>CONCATENATE( OPV_DOP,", ",OPV, ", ",KN_Main)</f>
        <v>0, 3, 8</v>
      </c>
      <c r="AK40" s="672"/>
      <c r="AL40" s="673"/>
      <c r="AM40" s="183" t="str">
        <f>AO33</f>
        <v xml:space="preserve">8 </v>
      </c>
      <c r="AN40" t="s">
        <v>652</v>
      </c>
      <c r="BA40" s="661" t="s">
        <v>389</v>
      </c>
      <c r="BB40" s="661"/>
      <c r="BC40" s="661"/>
      <c r="BD40" s="222" t="e">
        <f>LEN(SUBSTITUTE(CONCATENATE(BB32,BB33,BB34,#REF!,BB35,BB36),"-",""))</f>
        <v>#REF!</v>
      </c>
      <c r="BE40" s="224" t="e">
        <f t="shared" si="15"/>
        <v>#REF!</v>
      </c>
      <c r="BF40" t="s">
        <v>388</v>
      </c>
      <c r="BT40">
        <f t="shared" si="3"/>
        <v>2025</v>
      </c>
      <c r="BU40">
        <v>0</v>
      </c>
      <c r="BV40" t="s">
        <v>182</v>
      </c>
    </row>
    <row r="41" spans="8:74" ht="15.75" thickBot="1" x14ac:dyDescent="0.3">
      <c r="T41" s="214" t="s">
        <v>254</v>
      </c>
      <c r="U41" s="215"/>
      <c r="V41" s="216">
        <f>SumNumbers(T42)</f>
        <v>36</v>
      </c>
      <c r="W41" t="s">
        <v>256</v>
      </c>
      <c r="X41" s="353" t="s">
        <v>704</v>
      </c>
      <c r="Y41" s="354" t="str">
        <f ca="1">VLOOKUP(Y33,$BN$32:$BP$37,3,FALSE)</f>
        <v>+</v>
      </c>
      <c r="Z41" s="354" t="str">
        <f t="shared" ref="Z41:AD41" ca="1" si="16">VLOOKUP(Z33,$BN$32:$BP$37,3,FALSE)</f>
        <v>+</v>
      </c>
      <c r="AA41" s="354" t="str">
        <f t="shared" ca="1" si="16"/>
        <v>+</v>
      </c>
      <c r="AB41" s="354" t="str">
        <f t="shared" ca="1" si="16"/>
        <v>+</v>
      </c>
      <c r="AC41" s="354" t="str">
        <f t="shared" ca="1" si="16"/>
        <v>+</v>
      </c>
      <c r="AD41" s="355" t="str">
        <f t="shared" ca="1" si="16"/>
        <v>+</v>
      </c>
      <c r="AK41" s="672"/>
      <c r="AL41" s="673"/>
      <c r="AM41" s="183" t="str">
        <f>AK37</f>
        <v xml:space="preserve">3 </v>
      </c>
      <c r="AN41" t="s">
        <v>653</v>
      </c>
      <c r="BA41" s="662" t="s">
        <v>390</v>
      </c>
      <c r="BB41" s="662"/>
      <c r="BC41" s="662"/>
      <c r="BD41" s="222" t="e">
        <f>LEN(SUBSTITUTE(CONCATENATE(BC32,BC33,BC34,#REF!,BC35,BC36),"-",""))</f>
        <v>#REF!</v>
      </c>
      <c r="BE41" s="224" t="e">
        <f t="shared" si="15"/>
        <v>#REF!</v>
      </c>
      <c r="BF41" t="s">
        <v>388</v>
      </c>
      <c r="BM41" s="65"/>
      <c r="BT41">
        <f t="shared" si="3"/>
        <v>2026</v>
      </c>
      <c r="BU41">
        <v>1</v>
      </c>
      <c r="BV41" t="s">
        <v>182</v>
      </c>
    </row>
    <row r="42" spans="8:74" ht="15.75" thickBot="1" x14ac:dyDescent="0.3">
      <c r="L42" s="291">
        <f>AE24</f>
        <v>12</v>
      </c>
      <c r="T42">
        <f>DOB_Day*DOB_Month*DOB_Year</f>
        <v>361998</v>
      </c>
      <c r="U42" t="str">
        <f>T42&amp;REPT("0",7-LEN(T42))</f>
        <v>3619980</v>
      </c>
      <c r="X42" s="65" t="str">
        <f>CONCATENATE(DOB_Day,DOB_Month,DOB_Year)</f>
        <v>2671989</v>
      </c>
      <c r="Y42" s="65"/>
      <c r="Z42" s="65"/>
      <c r="AA42" s="76"/>
      <c r="AB42" s="65" t="str">
        <f>FirstName</f>
        <v>Олеся</v>
      </c>
      <c r="AC42" s="65" t="str">
        <f>LettersToNumberArray(FirstName,Alphabet)</f>
        <v xml:space="preserve">7 4 6 1 6 </v>
      </c>
      <c r="AD42" s="65"/>
      <c r="AK42" s="674"/>
      <c r="AL42" s="675"/>
      <c r="AM42" s="186" t="str">
        <f>AO37</f>
        <v xml:space="preserve">7 </v>
      </c>
      <c r="AN42" t="s">
        <v>654</v>
      </c>
      <c r="BA42" s="661" t="s">
        <v>391</v>
      </c>
      <c r="BB42" s="661"/>
      <c r="BC42" s="661"/>
      <c r="BD42" s="222" t="e">
        <f>LEN(SUBSTITUTE(CONCATENATE(BD32,BD33,BD34,#REF!,BD35,BD36),"-",""))</f>
        <v>#REF!</v>
      </c>
      <c r="BE42" s="224" t="e">
        <f t="shared" si="15"/>
        <v>#REF!</v>
      </c>
      <c r="BF42" t="s">
        <v>388</v>
      </c>
      <c r="BT42">
        <f t="shared" si="3"/>
        <v>2027</v>
      </c>
      <c r="BU42">
        <v>2</v>
      </c>
      <c r="BV42" t="s">
        <v>182</v>
      </c>
    </row>
    <row r="43" spans="8:74" ht="15" customHeight="1" thickBot="1" x14ac:dyDescent="0.3">
      <c r="J43" s="291">
        <f>OPV</f>
        <v>3</v>
      </c>
      <c r="N43" s="291">
        <f>KN_4</f>
        <v>2</v>
      </c>
      <c r="X43" s="660" t="s">
        <v>235</v>
      </c>
      <c r="Y43" s="660"/>
      <c r="Z43" s="660"/>
      <c r="AB43" s="660" t="s">
        <v>236</v>
      </c>
      <c r="AC43" s="660"/>
      <c r="AD43" s="660"/>
      <c r="AF43" s="65" t="str">
        <f>LastName</f>
        <v>Мезенцева</v>
      </c>
      <c r="AG43" s="65" t="str">
        <f>LettersToNumberArray(LastName,Alphabet)</f>
        <v xml:space="preserve">5 6 9 6 6 6 6 3 1 </v>
      </c>
      <c r="AH43" s="65"/>
      <c r="AI43" s="65"/>
      <c r="BA43" s="661" t="s">
        <v>392</v>
      </c>
      <c r="BB43" s="661"/>
      <c r="BC43" s="661"/>
      <c r="BD43" s="222" t="e">
        <f>LEN(SUBSTITUTE(CONCATENATE(BE32,BE33,BE34,#REF!,BE35,BE36), "-", ""))</f>
        <v>#REF!</v>
      </c>
      <c r="BE43" s="224" t="e">
        <f t="shared" si="15"/>
        <v>#REF!</v>
      </c>
      <c r="BF43" t="s">
        <v>388</v>
      </c>
      <c r="BT43">
        <f t="shared" si="3"/>
        <v>2028</v>
      </c>
      <c r="BU43">
        <v>3</v>
      </c>
      <c r="BV43" t="s">
        <v>182</v>
      </c>
    </row>
    <row r="44" spans="8:74" ht="15.75" thickBot="1" x14ac:dyDescent="0.3">
      <c r="O44" s="292">
        <f>36-SumNumbers(WorkNum_2)+18</f>
        <v>48</v>
      </c>
      <c r="T44" s="214" t="s">
        <v>346</v>
      </c>
      <c r="U44" s="215"/>
      <c r="V44" s="216">
        <f>SumNumbers(T45)</f>
        <v>29</v>
      </c>
      <c r="W44" t="s">
        <v>256</v>
      </c>
      <c r="X44" s="153" t="str">
        <f>ArrayRepeatNum("3", CountNumber(X42,3))</f>
        <v>нет</v>
      </c>
      <c r="Y44" s="154" t="str">
        <f>ArrayRepeatNum("6", CountNumber(X42,6))</f>
        <v xml:space="preserve">6 </v>
      </c>
      <c r="Z44" s="155" t="str">
        <f>ArrayRepeatNum("9", CountNumber(X42,9))</f>
        <v xml:space="preserve">9 9 </v>
      </c>
      <c r="AA44" s="65"/>
      <c r="AB44" s="153" t="str">
        <f>ArrayRepeatNum("3", CountNumber(AC42,3))</f>
        <v>нет</v>
      </c>
      <c r="AC44" s="154" t="str">
        <f>ArrayRepeatNum("6", CountNumber(AC42,6))</f>
        <v xml:space="preserve">6 6 </v>
      </c>
      <c r="AD44" s="155" t="str">
        <f>ArrayRepeatNum("9", CountNumber(AC42,9))</f>
        <v>нет</v>
      </c>
      <c r="AF44" s="660" t="s">
        <v>698</v>
      </c>
      <c r="AG44" s="660"/>
      <c r="AH44" s="660"/>
      <c r="AI44" s="317"/>
      <c r="AK44" s="676" t="s">
        <v>378</v>
      </c>
      <c r="AL44" s="677"/>
      <c r="AM44" s="166" t="str">
        <f>AK32</f>
        <v xml:space="preserve">2 </v>
      </c>
      <c r="AN44" t="s">
        <v>655</v>
      </c>
      <c r="BA44" s="661" t="s">
        <v>393</v>
      </c>
      <c r="BB44" s="661"/>
      <c r="BC44" s="661"/>
      <c r="BD44" s="222" t="e">
        <f>LEN(SUBSTITUTE(CONCATENATE(BF32,BF33,BF34,#REF!,BF35,BF36),"-",""))</f>
        <v>#REF!</v>
      </c>
      <c r="BE44" s="224" t="e">
        <f t="shared" si="15"/>
        <v>#REF!</v>
      </c>
      <c r="BF44" t="s">
        <v>388</v>
      </c>
      <c r="BT44">
        <f t="shared" si="3"/>
        <v>2029</v>
      </c>
      <c r="BU44">
        <v>4</v>
      </c>
      <c r="BV44" t="s">
        <v>182</v>
      </c>
    </row>
    <row r="45" spans="8:74" x14ac:dyDescent="0.25">
      <c r="I45">
        <v>0</v>
      </c>
      <c r="L45" s="291">
        <f>KN_Main</f>
        <v>8</v>
      </c>
      <c r="T45">
        <f>DOB_Day*CONCATENATE(DOB_Month,DOB_Year)</f>
        <v>1871714</v>
      </c>
      <c r="X45" s="156" t="str">
        <f>ArrayRepeatNum("2", CountNumber(X42,2))</f>
        <v xml:space="preserve">2 </v>
      </c>
      <c r="Y45" s="157" t="str">
        <f>ArrayRepeatNum("5", CountNumber(X42,5))</f>
        <v>нет</v>
      </c>
      <c r="Z45" s="158" t="str">
        <f>ArrayRepeatNum("8", CountNumber(X42,8))</f>
        <v xml:space="preserve">8 </v>
      </c>
      <c r="AA45" s="65"/>
      <c r="AB45" s="156" t="str">
        <f>ArrayRepeatNum("2", CountNumber(AC42,2))</f>
        <v>нет</v>
      </c>
      <c r="AC45" s="157" t="str">
        <f>ArrayRepeatNum("5", CountNumber(AC42,5))</f>
        <v>нет</v>
      </c>
      <c r="AD45" s="158" t="str">
        <f>ArrayRepeatNum("8", CountNumber(AC42,8))</f>
        <v>нет</v>
      </c>
      <c r="AF45" s="153" t="str">
        <f>ArrayRepeatNum("3", CountNumber(AG43,3))</f>
        <v xml:space="preserve">3 </v>
      </c>
      <c r="AG45" s="154" t="str">
        <f>ArrayRepeatNum("6", CountNumber(AG43,6))</f>
        <v xml:space="preserve">6 6 6 6 6 </v>
      </c>
      <c r="AH45" s="155" t="str">
        <f>ArrayRepeatNum("9", CountNumber(AG43,9))</f>
        <v xml:space="preserve">9 </v>
      </c>
      <c r="AI45" s="318"/>
      <c r="AK45" s="678"/>
      <c r="AL45" s="679"/>
      <c r="AM45" s="220" t="str">
        <f>AO32</f>
        <v>нет</v>
      </c>
      <c r="AN45" t="s">
        <v>656</v>
      </c>
      <c r="BA45" s="661" t="s">
        <v>394</v>
      </c>
      <c r="BB45" s="661"/>
      <c r="BC45" s="661"/>
      <c r="BD45" s="222" t="e">
        <f>LEN(SUBSTITUTE(CONCATENATE(#REF!,BB32,BC32,BD32,BE32,BF32), "-",""))</f>
        <v>#REF!</v>
      </c>
      <c r="BE45" s="224" t="e">
        <f t="shared" si="15"/>
        <v>#REF!</v>
      </c>
      <c r="BF45" t="s">
        <v>388</v>
      </c>
      <c r="BT45">
        <f t="shared" si="3"/>
        <v>2030</v>
      </c>
      <c r="BU45">
        <v>5</v>
      </c>
      <c r="BV45" t="s">
        <v>182</v>
      </c>
    </row>
    <row r="46" spans="8:74" ht="15.75" thickBot="1" x14ac:dyDescent="0.3">
      <c r="X46" s="159" t="str">
        <f>ArrayRepeatNum("1", CountNumber(X42,1))</f>
        <v xml:space="preserve">1 </v>
      </c>
      <c r="Y46" s="160" t="str">
        <f>ArrayRepeatNum("4", CountNumber(X42,4))</f>
        <v>нет</v>
      </c>
      <c r="Z46" s="161" t="str">
        <f>ArrayRepeatNum("7", CountNumber(X42,7))</f>
        <v xml:space="preserve">7 </v>
      </c>
      <c r="AA46" s="65"/>
      <c r="AB46" s="159" t="str">
        <f>ArrayRepeatNum("1", CountNumber(AC42,1))</f>
        <v xml:space="preserve">1 </v>
      </c>
      <c r="AC46" s="160" t="str">
        <f>ArrayRepeatNum("4", CountNumber(AC42,4))</f>
        <v xml:space="preserve">4 </v>
      </c>
      <c r="AD46" s="161" t="str">
        <f>ArrayRepeatNum("7", CountNumber(AC42,7))</f>
        <v xml:space="preserve">7 </v>
      </c>
      <c r="AF46" s="156" t="str">
        <f>ArrayRepeatNum("2", CountNumber(AG43,2))</f>
        <v>нет</v>
      </c>
      <c r="AG46" s="157" t="str">
        <f>ArrayRepeatNum("5", CountNumber(AG43,5))</f>
        <v xml:space="preserve">5 </v>
      </c>
      <c r="AH46" s="158" t="str">
        <f>ArrayRepeatNum("8", CountNumber(AG43,8))</f>
        <v>нет</v>
      </c>
      <c r="AI46" s="318"/>
      <c r="AK46" s="678"/>
      <c r="AL46" s="679"/>
      <c r="AM46" s="220" t="str">
        <f>AK36</f>
        <v xml:space="preserve">2 2 </v>
      </c>
      <c r="AN46" t="s">
        <v>657</v>
      </c>
      <c r="BA46" s="661" t="s">
        <v>395</v>
      </c>
      <c r="BB46" s="661"/>
      <c r="BC46" s="661"/>
      <c r="BD46" s="222" t="e">
        <f>LEN(SUBSTITUTE(CONCATENATE(#REF!,BB33,BC33,BD33,BE33,BF33), "-",""))</f>
        <v>#REF!</v>
      </c>
      <c r="BE46" s="224" t="e">
        <f t="shared" si="15"/>
        <v>#REF!</v>
      </c>
      <c r="BF46" t="s">
        <v>388</v>
      </c>
      <c r="BT46">
        <f t="shared" si="3"/>
        <v>2031</v>
      </c>
      <c r="BU46">
        <v>0</v>
      </c>
      <c r="BV46" t="s">
        <v>621</v>
      </c>
    </row>
    <row r="47" spans="8:74" ht="15.75" thickBot="1" x14ac:dyDescent="0.3">
      <c r="L47" s="291">
        <f>O44+5</f>
        <v>53</v>
      </c>
      <c r="X47" s="347" t="str">
        <f>CONCATENATE(X42,AC42)</f>
        <v xml:space="preserve">26719897 4 6 1 6 </v>
      </c>
      <c r="Y47" s="65"/>
      <c r="Z47" s="65"/>
      <c r="AA47" s="65"/>
      <c r="AB47" s="347" t="str">
        <f>CONCATENATE(V11,V12,V13)</f>
        <v>2464687</v>
      </c>
      <c r="AC47" s="65"/>
      <c r="AD47" s="65"/>
      <c r="AF47" s="159" t="str">
        <f>ArrayRepeatNum("1", CountNumber(AG43,1))</f>
        <v xml:space="preserve">1 </v>
      </c>
      <c r="AG47" s="160" t="str">
        <f>ArrayRepeatNum("4", CountNumber(AG43,4))</f>
        <v>нет</v>
      </c>
      <c r="AH47" s="161" t="str">
        <f>ArrayRepeatNum("7", CountNumber(AG43,7))</f>
        <v>нет</v>
      </c>
      <c r="AI47" s="318"/>
      <c r="AK47" s="680"/>
      <c r="AL47" s="681"/>
      <c r="AM47" s="167" t="str">
        <f>AO36</f>
        <v xml:space="preserve">4 4 </v>
      </c>
      <c r="AN47" t="s">
        <v>658</v>
      </c>
      <c r="BA47" s="661" t="s">
        <v>396</v>
      </c>
      <c r="BB47" s="661"/>
      <c r="BC47" s="661"/>
      <c r="BD47" s="222" t="e">
        <f>LEN(SUBSTITUTE(CONCATENATE(#REF!,BB34,BC34,BD34,BE34,BF34), "-",""))</f>
        <v>#REF!</v>
      </c>
      <c r="BE47" s="224" t="e">
        <f t="shared" si="15"/>
        <v>#REF!</v>
      </c>
      <c r="BF47" t="s">
        <v>388</v>
      </c>
      <c r="BT47">
        <f t="shared" si="3"/>
        <v>2032</v>
      </c>
      <c r="BU47">
        <v>1</v>
      </c>
      <c r="BV47" t="s">
        <v>621</v>
      </c>
    </row>
    <row r="48" spans="8:74" ht="15.75" thickBot="1" x14ac:dyDescent="0.3">
      <c r="X48" s="646" t="s">
        <v>239</v>
      </c>
      <c r="Y48" s="646"/>
      <c r="Z48" s="646"/>
      <c r="AA48" s="65"/>
      <c r="AB48" s="660" t="s">
        <v>238</v>
      </c>
      <c r="AC48" s="660"/>
      <c r="AD48" s="660"/>
      <c r="BA48" s="661" t="s">
        <v>397</v>
      </c>
      <c r="BB48" s="661"/>
      <c r="BC48" s="661"/>
      <c r="BD48" s="222" t="e">
        <f>LEN(SUBSTITUTE(CONCATENATE(#REF!,#REF!,#REF!,#REF!,#REF!,#REF!), "-",""))</f>
        <v>#REF!</v>
      </c>
      <c r="BE48" s="224" t="e">
        <f t="shared" si="15"/>
        <v>#REF!</v>
      </c>
      <c r="BF48" t="s">
        <v>388</v>
      </c>
      <c r="BT48">
        <f t="shared" si="3"/>
        <v>2033</v>
      </c>
      <c r="BU48">
        <v>2</v>
      </c>
      <c r="BV48" t="s">
        <v>621</v>
      </c>
    </row>
    <row r="49" spans="1:74" x14ac:dyDescent="0.25">
      <c r="X49" s="153" t="str">
        <f>IF(X44="нет",IF(AB44&lt;&gt;"нет","3","нет"),X44)</f>
        <v>нет</v>
      </c>
      <c r="Y49" s="154" t="str">
        <f>IF(Y44="нет",IF(AC44&lt;&gt;"нет","6","нет"),Y44)</f>
        <v xml:space="preserve">6 </v>
      </c>
      <c r="Z49" s="155" t="str">
        <f>IF(Z44="нет",IF(AD44&lt;&gt;"нет","9","нет"),Z44)</f>
        <v xml:space="preserve">9 9 </v>
      </c>
      <c r="AB49" s="153" t="str">
        <f>ArrayRepeatNum("4", CountNumber(AB47,4))</f>
        <v xml:space="preserve">4 4 </v>
      </c>
      <c r="AC49" s="154" t="str">
        <f>ArrayRepeatNum("9", CountNumber(AB47,9))</f>
        <v>нет</v>
      </c>
      <c r="AD49" s="155" t="str">
        <f>ArrayRepeatNum("2", CountNumber(AB47,2))</f>
        <v xml:space="preserve">2 </v>
      </c>
      <c r="AF49" s="65" t="str">
        <f>MiddleName</f>
        <v>Евгеньевна</v>
      </c>
      <c r="AH49" s="65" t="str">
        <f>LettersToNumberArray(MiddleName,Alphabet)</f>
        <v xml:space="preserve">6 3 4 6 6 3 6 3 6 1 </v>
      </c>
      <c r="AI49" s="65"/>
      <c r="AK49" s="682" t="s">
        <v>379</v>
      </c>
      <c r="AL49" s="683"/>
      <c r="AM49" s="181" t="str">
        <f>AK31</f>
        <v>нет</v>
      </c>
      <c r="AN49" t="s">
        <v>659</v>
      </c>
      <c r="BA49" s="661" t="s">
        <v>398</v>
      </c>
      <c r="BB49" s="661"/>
      <c r="BC49" s="661"/>
      <c r="BD49" s="222">
        <f t="shared" ref="BD49:BD50" si="17">LEN(SUBSTITUTE(CONCATENATE(BA35,BB35,BC35,BD35,BE35,BF35), "-",""))</f>
        <v>5</v>
      </c>
      <c r="BE49" s="224" t="str">
        <f t="shared" si="15"/>
        <v>Да</v>
      </c>
      <c r="BF49" t="s">
        <v>388</v>
      </c>
      <c r="BT49">
        <f t="shared" si="3"/>
        <v>2034</v>
      </c>
      <c r="BU49">
        <v>3</v>
      </c>
      <c r="BV49" t="s">
        <v>621</v>
      </c>
    </row>
    <row r="50" spans="1:74" ht="15.75" thickBot="1" x14ac:dyDescent="0.3">
      <c r="D50" s="294">
        <f>ROUNDDOWN(H40,0)</f>
        <v>15</v>
      </c>
      <c r="I50" s="294">
        <f>L33</f>
        <v>35</v>
      </c>
      <c r="N50" s="294">
        <f>(P54+L54)/2</f>
        <v>44</v>
      </c>
      <c r="S50" s="294">
        <f>L47</f>
        <v>53</v>
      </c>
      <c r="X50" s="156" t="str">
        <f>IF(X45="нет",IF(AB45&lt;&gt;"нет","2","нет"),X45)</f>
        <v xml:space="preserve">2 </v>
      </c>
      <c r="Y50" s="157" t="str">
        <f>IF(Y45="нет",IF(AC45&lt;&gt;"нет","5","нет"),Y45)</f>
        <v>нет</v>
      </c>
      <c r="Z50" s="158" t="str">
        <f>IF(Z45="нет",IF(AD45&lt;&gt;"нет","8","нет"),Z45)</f>
        <v xml:space="preserve">8 </v>
      </c>
      <c r="AA50" s="65"/>
      <c r="AB50" s="156" t="str">
        <f>ArrayRepeatNum("3", CountNumber(AB47,3))</f>
        <v>нет</v>
      </c>
      <c r="AC50" s="157" t="str">
        <f>ArrayRepeatNum("5", CountNumber(AB47,5))</f>
        <v>нет</v>
      </c>
      <c r="AD50" s="158" t="str">
        <f>ArrayRepeatNum("7", CountNumber(AB47,7))</f>
        <v xml:space="preserve">7 </v>
      </c>
      <c r="AF50" s="660" t="s">
        <v>699</v>
      </c>
      <c r="AG50" s="660"/>
      <c r="AH50" s="660"/>
      <c r="AI50" s="317"/>
      <c r="AK50" s="684"/>
      <c r="AL50" s="685"/>
      <c r="AM50" s="183" t="str">
        <f>AO31</f>
        <v xml:space="preserve">4 4 </v>
      </c>
      <c r="AN50" t="s">
        <v>660</v>
      </c>
      <c r="BA50" s="661" t="s">
        <v>399</v>
      </c>
      <c r="BB50" s="661"/>
      <c r="BC50" s="661"/>
      <c r="BD50" s="222">
        <f t="shared" si="17"/>
        <v>5</v>
      </c>
      <c r="BE50" s="224" t="str">
        <f t="shared" si="15"/>
        <v>Да</v>
      </c>
      <c r="BF50" t="s">
        <v>388</v>
      </c>
      <c r="BT50">
        <f t="shared" si="3"/>
        <v>2035</v>
      </c>
      <c r="BU50">
        <v>4</v>
      </c>
      <c r="BV50" t="s">
        <v>621</v>
      </c>
    </row>
    <row r="51" spans="1:74" ht="15.75" thickBot="1" x14ac:dyDescent="0.3">
      <c r="D51" s="290">
        <f>I40</f>
        <v>7</v>
      </c>
      <c r="I51" s="290">
        <f>L35</f>
        <v>8</v>
      </c>
      <c r="N51" s="290">
        <f>O40</f>
        <v>5</v>
      </c>
      <c r="S51" s="290">
        <f>L45</f>
        <v>8</v>
      </c>
      <c r="X51" s="159" t="str">
        <f>IF(X46="нет",IF(AB46&lt;&gt;"нет","1","нет"),X46)</f>
        <v xml:space="preserve">1 </v>
      </c>
      <c r="Y51" s="162" t="str">
        <f>IF(Y46="нет",IF(AC46&lt;&gt;"нет","4","нет"),Y46)</f>
        <v>4</v>
      </c>
      <c r="Z51" s="161" t="str">
        <f>IF(Z46="нет",IF(AD46&lt;&gt;"нет","7","нет"),Z46)</f>
        <v xml:space="preserve">7 </v>
      </c>
      <c r="AA51" s="65"/>
      <c r="AB51" s="159" t="str">
        <f>ArrayRepeatNum("8", CountNumber(AB47,8))</f>
        <v xml:space="preserve">8 </v>
      </c>
      <c r="AC51" s="160" t="str">
        <f>ArrayRepeatNum("1", CountNumber(AB47,1))</f>
        <v>нет</v>
      </c>
      <c r="AD51" s="161" t="str">
        <f>ArrayRepeatNum("6", CountNumber(AB47,6))</f>
        <v xml:space="preserve">6 6 </v>
      </c>
      <c r="AF51" s="153" t="str">
        <f>ArrayRepeatNum("3", CountNumber(AH49,3))</f>
        <v xml:space="preserve">3 3 3 </v>
      </c>
      <c r="AG51" s="154" t="str">
        <f>ArrayRepeatNum("6", CountNumber(AH49,6))</f>
        <v xml:space="preserve">6 6 6 6 6 </v>
      </c>
      <c r="AH51" s="155" t="str">
        <f>ArrayRepeatNum("9", CountNumber(AH49,9))</f>
        <v>нет</v>
      </c>
      <c r="AI51" s="318"/>
      <c r="AK51" s="684"/>
      <c r="AL51" s="685"/>
      <c r="AM51" s="183" t="str">
        <f>AK35</f>
        <v xml:space="preserve">1 1 1 </v>
      </c>
      <c r="AN51" t="s">
        <v>661</v>
      </c>
      <c r="BA51" s="661" t="s">
        <v>400</v>
      </c>
      <c r="BB51" s="661"/>
      <c r="BC51" s="661"/>
      <c r="BD51" s="222" t="e">
        <f>LEN(SUBSTITUTE(CONCATENATE(#REF!,BB34,BC33,BD32),"-",""))</f>
        <v>#REF!</v>
      </c>
      <c r="BE51" s="224" t="e">
        <f>IF(BD51&gt;=2, "Да", "Нет")</f>
        <v>#REF!</v>
      </c>
      <c r="BF51" t="s">
        <v>404</v>
      </c>
      <c r="BT51">
        <f t="shared" si="3"/>
        <v>2036</v>
      </c>
      <c r="BU51">
        <v>5</v>
      </c>
      <c r="BV51" t="s">
        <v>621</v>
      </c>
    </row>
    <row r="52" spans="1:74" ht="15.75" thickBot="1" x14ac:dyDescent="0.3">
      <c r="X52" s="347" t="str">
        <f>CONCATENATE(X42,WorkNum_1,WorkNum_2,ABS(WorkNum_3),ABS(WorkNum_4))</f>
        <v>26719894263811</v>
      </c>
      <c r="Y52" s="65"/>
      <c r="Z52" s="65"/>
      <c r="AA52" s="65"/>
      <c r="AB52" s="347" t="str">
        <f>CONCATENATE(LettersToNumberArray(FirstName,Alphabet),LettersToNumberArray(LastName,Alphabet),LettersToNumberArray(MiddleName,Alphabet))</f>
        <v xml:space="preserve">7 4 6 1 6 5 6 9 6 6 6 6 3 1 6 3 4 6 6 3 6 3 6 1 </v>
      </c>
      <c r="AC52" s="65"/>
      <c r="AD52" s="65"/>
      <c r="AF52" s="156" t="str">
        <f>ArrayRepeatNum("2", CountNumber(AH49,2))</f>
        <v>нет</v>
      </c>
      <c r="AG52" s="157" t="str">
        <f>ArrayRepeatNum("5", CountNumber(AH49,5))</f>
        <v>нет</v>
      </c>
      <c r="AH52" s="158" t="str">
        <f>ArrayRepeatNum("8", CountNumber(AH49,8))</f>
        <v>нет</v>
      </c>
      <c r="AI52" s="318"/>
      <c r="AK52" s="686"/>
      <c r="AL52" s="687"/>
      <c r="AM52" s="186" t="str">
        <f>AO35</f>
        <v xml:space="preserve">1 1 1 </v>
      </c>
      <c r="AN52" t="s">
        <v>662</v>
      </c>
      <c r="BA52" s="661" t="s">
        <v>401</v>
      </c>
      <c r="BB52" s="661"/>
      <c r="BC52" s="661"/>
      <c r="BD52" s="222" t="e">
        <f>LEN(SUBSTITUTE(CONCATENATE(BA35,#REF!,BC34,BD33,BE32),"-",""))</f>
        <v>#REF!</v>
      </c>
      <c r="BE52" s="224" t="e">
        <f>IF(BD52&gt;=3, "Да", "Нет")</f>
        <v>#REF!</v>
      </c>
      <c r="BF52" t="s">
        <v>405</v>
      </c>
      <c r="BT52">
        <f t="shared" si="3"/>
        <v>2037</v>
      </c>
      <c r="BU52">
        <v>0</v>
      </c>
      <c r="BV52" t="s">
        <v>182</v>
      </c>
    </row>
    <row r="53" spans="1:74" ht="15.75" thickBot="1" x14ac:dyDescent="0.3">
      <c r="B53" s="295">
        <f>ROUNDDOWN(H40-D50/2,0)</f>
        <v>7</v>
      </c>
      <c r="C53" s="291">
        <f>numberto22(B55+D51)</f>
        <v>10</v>
      </c>
      <c r="E53" s="291">
        <f>numberto22(D51+F55)</f>
        <v>8</v>
      </c>
      <c r="F53" s="296">
        <f>ROUNDDOWN((F54-D50/2),0)</f>
        <v>22</v>
      </c>
      <c r="G53" s="295">
        <f>ROUNDDOWN(((I50-G54)/2+G54),0)</f>
        <v>33</v>
      </c>
      <c r="H53" s="291">
        <f>numberto22(G55+I51)</f>
        <v>9</v>
      </c>
      <c r="J53" s="291">
        <f>numberto22(I51+K55)</f>
        <v>10</v>
      </c>
      <c r="K53" s="296">
        <f>ROUNDDOWN(((K54-I50)/2+I50),0)</f>
        <v>37</v>
      </c>
      <c r="L53" s="295">
        <f>ROUNDDOWN(((N50-L54)/2+L54),0)</f>
        <v>42</v>
      </c>
      <c r="M53" s="291">
        <f>numberto22(L55+N51)</f>
        <v>7</v>
      </c>
      <c r="O53" s="291">
        <f>numberto22(N51+P55)</f>
        <v>7</v>
      </c>
      <c r="P53" s="296">
        <f>ROUNDDOWN(((P54-N50)/2+N50),0)</f>
        <v>46</v>
      </c>
      <c r="Q53" s="295">
        <f>ROUNDDOWN(((S50-Q54)/2+Q54),0)</f>
        <v>51</v>
      </c>
      <c r="R53" s="291">
        <f>numberto22(Q55+S51)</f>
        <v>10</v>
      </c>
      <c r="T53" s="291">
        <f>numberto22(S51+U55)</f>
        <v>11</v>
      </c>
      <c r="U53" s="296">
        <f>ROUNDDOWN(((U54-S50)/2+S50),0)</f>
        <v>55</v>
      </c>
      <c r="X53" s="646" t="s">
        <v>240</v>
      </c>
      <c r="Y53" s="646"/>
      <c r="Z53" s="646"/>
      <c r="AA53" s="65"/>
      <c r="AB53" s="646" t="s">
        <v>241</v>
      </c>
      <c r="AC53" s="646"/>
      <c r="AD53" s="646"/>
      <c r="AF53" s="159" t="str">
        <f>ArrayRepeatNum("1", CountNumber(AH49,1))</f>
        <v xml:space="preserve">1 </v>
      </c>
      <c r="AG53" s="160" t="str">
        <f>ArrayRepeatNum("4", CountNumber(AH49,4))</f>
        <v xml:space="preserve">4 </v>
      </c>
      <c r="AH53" s="161" t="str">
        <f>ArrayRepeatNum("7", CountNumber(AH49,7))</f>
        <v>нет</v>
      </c>
      <c r="AI53" s="318"/>
      <c r="BA53" s="661" t="s">
        <v>402</v>
      </c>
      <c r="BB53" s="661"/>
      <c r="BC53" s="661"/>
      <c r="BD53" s="222" t="e">
        <f>LEN(SUBSTITUTE(CONCATENATE(BA36,BB35,#REF!,BD34,BE33,BF32),"-",""))</f>
        <v>#REF!</v>
      </c>
      <c r="BE53" s="224" t="e">
        <f>IF(BD53&gt;=4, "Да", "Нет")</f>
        <v>#REF!</v>
      </c>
      <c r="BF53" t="s">
        <v>388</v>
      </c>
      <c r="BT53">
        <f t="shared" si="3"/>
        <v>2038</v>
      </c>
      <c r="BU53">
        <v>1</v>
      </c>
      <c r="BV53" t="s">
        <v>182</v>
      </c>
    </row>
    <row r="54" spans="1:74" x14ac:dyDescent="0.25">
      <c r="F54" s="294">
        <f>I36</f>
        <v>30</v>
      </c>
      <c r="G54" s="294">
        <f>F54+1</f>
        <v>31</v>
      </c>
      <c r="K54" s="294">
        <f>O36</f>
        <v>39</v>
      </c>
      <c r="L54" s="294">
        <f>O36+1</f>
        <v>40</v>
      </c>
      <c r="P54" s="294">
        <f>O44</f>
        <v>48</v>
      </c>
      <c r="Q54" s="294">
        <f>O44+1</f>
        <v>49</v>
      </c>
      <c r="U54" s="294">
        <f>P54+9</f>
        <v>57</v>
      </c>
      <c r="X54" s="153" t="str">
        <f>ArrayRepeatNum("1", CountNumber(X52,1))</f>
        <v xml:space="preserve">1 1 1 </v>
      </c>
      <c r="Y54" s="154" t="str">
        <f>ArrayRepeatNum("4", CountNumber(X52,4))</f>
        <v xml:space="preserve">4 </v>
      </c>
      <c r="Z54" s="155" t="str">
        <f>ArrayRepeatNum("7", CountNumber(X52,7))</f>
        <v xml:space="preserve">7 </v>
      </c>
      <c r="AA54" s="65"/>
      <c r="AB54" s="153" t="str">
        <f>ArrayRepeatNum("1", CountNumber(AB52,1))</f>
        <v xml:space="preserve">1 1 1 </v>
      </c>
      <c r="AC54" s="154" t="str">
        <f>ArrayRepeatNum("2", CountNumber(AB52,2))</f>
        <v>нет</v>
      </c>
      <c r="AD54" s="155" t="str">
        <f>ArrayRepeatNum("3", CountNumber(AB52,3))</f>
        <v xml:space="preserve">3 3 3 3 </v>
      </c>
      <c r="AK54" s="688" t="s">
        <v>380</v>
      </c>
      <c r="AL54" s="689"/>
      <c r="AM54" s="166" t="str">
        <f>AL33</f>
        <v>4</v>
      </c>
      <c r="AN54" t="s">
        <v>663</v>
      </c>
      <c r="BA54" s="661" t="s">
        <v>403</v>
      </c>
      <c r="BB54" s="661"/>
      <c r="BC54" s="661"/>
      <c r="BD54" s="222" t="e">
        <f>LEN(SUBSTITUTE(CONCATENATE(BB36,BC35,#REF!,BE34,BF33),"-",""))</f>
        <v>#REF!</v>
      </c>
      <c r="BE54" s="224" t="e">
        <f>IF(BD54&gt;=3, "Да", "Нет")</f>
        <v>#REF!</v>
      </c>
      <c r="BF54" t="s">
        <v>405</v>
      </c>
      <c r="BT54">
        <f t="shared" si="3"/>
        <v>2039</v>
      </c>
      <c r="BU54">
        <v>2</v>
      </c>
      <c r="BV54" t="s">
        <v>182</v>
      </c>
    </row>
    <row r="55" spans="1:74" x14ac:dyDescent="0.25">
      <c r="A55" s="295">
        <v>0</v>
      </c>
      <c r="B55" s="290">
        <f>J43</f>
        <v>3</v>
      </c>
      <c r="D55" s="293">
        <f>numberto22(B55+F55)</f>
        <v>4</v>
      </c>
      <c r="F55" s="290">
        <f>J37</f>
        <v>1</v>
      </c>
      <c r="G55" s="290">
        <f>F55</f>
        <v>1</v>
      </c>
      <c r="I55" s="291">
        <f>numberto22(G55+K55)</f>
        <v>3</v>
      </c>
      <c r="K55" s="290">
        <f>N37</f>
        <v>2</v>
      </c>
      <c r="L55" s="290">
        <f>K55</f>
        <v>2</v>
      </c>
      <c r="M55" s="291"/>
      <c r="N55" s="291">
        <f>numberto22(L55+P55)</f>
        <v>4</v>
      </c>
      <c r="P55" s="290">
        <f>N43</f>
        <v>2</v>
      </c>
      <c r="Q55" s="290">
        <f>P55</f>
        <v>2</v>
      </c>
      <c r="R55" s="291"/>
      <c r="S55" s="291">
        <f>numberto22(Q55+U55)</f>
        <v>5</v>
      </c>
      <c r="U55" s="290">
        <f>J43</f>
        <v>3</v>
      </c>
      <c r="W55" s="291"/>
      <c r="X55" s="156" t="str">
        <f>ArrayRepeatNum("2", CountNumber(X52,2))</f>
        <v xml:space="preserve">2 2 </v>
      </c>
      <c r="Y55" s="157" t="str">
        <f>ArrayRepeatNum("5", CountNumber(X52,5))</f>
        <v>нет</v>
      </c>
      <c r="Z55" s="158" t="str">
        <f>ArrayRepeatNum("8", CountNumber(X52,8))</f>
        <v xml:space="preserve">8 8 </v>
      </c>
      <c r="AB55" s="156" t="str">
        <f>ArrayRepeatNum("4", CountNumber(AB52,4))</f>
        <v xml:space="preserve">4 4 </v>
      </c>
      <c r="AC55" s="157" t="str">
        <f>ArrayRepeatNum("5", CountNumber(AB52,5))</f>
        <v xml:space="preserve">5 </v>
      </c>
      <c r="AD55" s="158" t="str">
        <f>ArrayRepeatNum("6", CountNumber(AB52,6))</f>
        <v xml:space="preserve">6 6 6 6 6 6 6 6 6 6 6 6 </v>
      </c>
      <c r="AK55" s="690"/>
      <c r="AL55" s="691"/>
      <c r="AM55" s="220" t="str">
        <f>AP33</f>
        <v>нет</v>
      </c>
      <c r="AN55" t="s">
        <v>664</v>
      </c>
      <c r="BA55" s="661" t="s">
        <v>406</v>
      </c>
      <c r="BB55" s="661"/>
      <c r="BC55" s="661"/>
      <c r="BD55" s="222" t="e">
        <f>LEN(SUBSTITUTE(CONCATENATE(BC36,BD35,#REF!,BF34),"-",""))</f>
        <v>#REF!</v>
      </c>
      <c r="BE55" s="224" t="e">
        <f>IF(BD55&gt;=2, "Да", "Нет")</f>
        <v>#REF!</v>
      </c>
      <c r="BF55" t="s">
        <v>404</v>
      </c>
      <c r="BT55">
        <f t="shared" si="3"/>
        <v>2040</v>
      </c>
      <c r="BU55">
        <v>3</v>
      </c>
      <c r="BV55" t="s">
        <v>182</v>
      </c>
    </row>
    <row r="56" spans="1:74" ht="15.75" thickBot="1" x14ac:dyDescent="0.3">
      <c r="D56" s="291">
        <f>ABS(numberto22(B55-F55))</f>
        <v>2</v>
      </c>
      <c r="I56" s="291">
        <f>ABS(numberto22(G55-K55))</f>
        <v>1</v>
      </c>
      <c r="N56" s="291">
        <f>ABS(numberto22(L55-P55))</f>
        <v>22</v>
      </c>
      <c r="S56" s="291">
        <f>ABS(numberto22(Q55-U55))</f>
        <v>1</v>
      </c>
      <c r="X56" s="159" t="str">
        <f>ArrayRepeatNum("3", CountNumber(X52,3))</f>
        <v xml:space="preserve">3 </v>
      </c>
      <c r="Y56" s="160" t="str">
        <f>ArrayRepeatNum("6", CountNumber(X52,6))</f>
        <v xml:space="preserve">6 6 </v>
      </c>
      <c r="Z56" s="161" t="str">
        <f>ArrayRepeatNum("9", CountNumber(X52,9))</f>
        <v xml:space="preserve">9 9 </v>
      </c>
      <c r="AB56" s="159" t="str">
        <f>ArrayRepeatNum("7", CountNumber(AB52,7))</f>
        <v xml:space="preserve">7 </v>
      </c>
      <c r="AC56" s="160" t="str">
        <f>ArrayRepeatNum("8", CountNumber(AB52,8))</f>
        <v>нет</v>
      </c>
      <c r="AD56" s="161" t="str">
        <f>ArrayRepeatNum("9", CountNumber(AB52,9))</f>
        <v xml:space="preserve">9 </v>
      </c>
      <c r="AK56" s="690"/>
      <c r="AL56" s="691"/>
      <c r="AM56" s="220" t="str">
        <f>AL37</f>
        <v xml:space="preserve">6 6 </v>
      </c>
      <c r="AN56" t="s">
        <v>665</v>
      </c>
      <c r="BA56" s="661" t="s">
        <v>407</v>
      </c>
      <c r="BB56" s="661"/>
      <c r="BC56" s="661"/>
      <c r="BD56" s="222" t="e">
        <f>LEN(SUBSTITUTE(CONCATENATE(BD36,BC35,#REF!,#REF!),"-",""))</f>
        <v>#REF!</v>
      </c>
      <c r="BE56" s="224" t="e">
        <f>IF(BD56&gt;=2, "Да", "Нет")</f>
        <v>#REF!</v>
      </c>
      <c r="BF56" t="s">
        <v>404</v>
      </c>
      <c r="BT56">
        <f t="shared" si="3"/>
        <v>2041</v>
      </c>
      <c r="BU56">
        <v>4</v>
      </c>
      <c r="BV56" t="s">
        <v>182</v>
      </c>
    </row>
    <row r="57" spans="1:74" ht="15.75" thickBot="1" x14ac:dyDescent="0.3">
      <c r="C57" s="291">
        <f>ABS(B55-D59)</f>
        <v>4</v>
      </c>
      <c r="E57" s="291">
        <f>ABS(numberto22(D59-F55))</f>
        <v>6</v>
      </c>
      <c r="H57" s="291">
        <f>ABS(numberto22(G55-I59))</f>
        <v>7</v>
      </c>
      <c r="J57" s="291">
        <f>ABS(numberto22(I59-K55))</f>
        <v>6</v>
      </c>
      <c r="M57" s="291">
        <f>ABS(numberto22(L55-N59))</f>
        <v>3</v>
      </c>
      <c r="O57" s="291">
        <f>ABS(numberto22(N59-P55))</f>
        <v>3</v>
      </c>
      <c r="R57" s="291">
        <f>ABS(numberto22(S59-Q55))</f>
        <v>6</v>
      </c>
      <c r="T57" s="291">
        <f>ABS(numberto22(S59-U55))</f>
        <v>5</v>
      </c>
      <c r="AK57" s="692"/>
      <c r="AL57" s="693"/>
      <c r="AM57" s="167" t="str">
        <f>AP37</f>
        <v>нет</v>
      </c>
      <c r="AN57" t="s">
        <v>666</v>
      </c>
      <c r="BA57" s="661" t="s">
        <v>408</v>
      </c>
      <c r="BB57" s="661"/>
      <c r="BC57" s="661"/>
      <c r="BD57" s="222" t="e">
        <f>LEN(SUBSTITUTE(CONCATENATE(BE36,BD35,#REF!,BB34,#REF!),"-",""))</f>
        <v>#REF!</v>
      </c>
      <c r="BE57" s="224" t="e">
        <f>IF(BD57&gt;=3, "Да", "Нет")</f>
        <v>#REF!</v>
      </c>
      <c r="BF57" t="s">
        <v>405</v>
      </c>
      <c r="BT57">
        <f t="shared" si="3"/>
        <v>2042</v>
      </c>
      <c r="BU57">
        <v>5</v>
      </c>
      <c r="BV57" t="s">
        <v>182</v>
      </c>
    </row>
    <row r="58" spans="1:74" ht="15.75" thickBot="1" x14ac:dyDescent="0.3">
      <c r="X58" s="666" t="s">
        <v>417</v>
      </c>
      <c r="Y58" s="666"/>
      <c r="Z58" s="666"/>
      <c r="AB58" s="66" t="s">
        <v>432</v>
      </c>
      <c r="BA58" s="661" t="s">
        <v>409</v>
      </c>
      <c r="BB58" s="661"/>
      <c r="BC58" s="661"/>
      <c r="BD58" s="222" t="e">
        <f>LEN(SUBSTITUTE(CONCATENATE(BF36,BE35,#REF!,BC34,BB33,#REF!),"-",""))</f>
        <v>#REF!</v>
      </c>
      <c r="BE58" s="224" t="e">
        <f>IF(BD58&gt;=4, "Да", "Нет")</f>
        <v>#REF!</v>
      </c>
      <c r="BF58" t="s">
        <v>388</v>
      </c>
      <c r="BT58">
        <f t="shared" si="3"/>
        <v>2043</v>
      </c>
      <c r="BU58">
        <v>0</v>
      </c>
      <c r="BV58" t="s">
        <v>621</v>
      </c>
    </row>
    <row r="59" spans="1:74" x14ac:dyDescent="0.25">
      <c r="D59" s="290">
        <f>D51</f>
        <v>7</v>
      </c>
      <c r="I59" s="290">
        <f>I51</f>
        <v>8</v>
      </c>
      <c r="N59" s="290">
        <f>N51</f>
        <v>5</v>
      </c>
      <c r="S59" s="290">
        <f>S51</f>
        <v>8</v>
      </c>
      <c r="X59" s="60" t="s">
        <v>451</v>
      </c>
      <c r="Y59" s="72"/>
      <c r="Z59" s="166" t="str">
        <f>IF(LEN(SUBSTITUTE(CONCATENATE(IF(CountNumber(X47,1)&gt;0, "1", "-"),IF(CountNumber(X47,4)&gt;0, "4", "-"),IF(CountNumber(X47,7)&gt;0, "7", "-")),"-",""))=3, "Да", "Нет")</f>
        <v>Да</v>
      </c>
      <c r="AB59" s="60" t="s">
        <v>433</v>
      </c>
      <c r="AC59" s="72"/>
      <c r="AD59" s="72"/>
      <c r="AE59" s="166" t="str">
        <f>IF(LEN(SUBSTITUTE(CONCATENATE(IF(CountNumber(AB47,8)&gt;0, "8", "-"),IF(CountNumber(AB47,1)&gt;0, "1", "-"),IF(CountNumber(AB47,6)&gt;0, "6", "-")),"-",""))=3, "Да", "Нет")</f>
        <v>Нет</v>
      </c>
      <c r="AK59" s="694" t="s">
        <v>381</v>
      </c>
      <c r="AL59" s="695"/>
      <c r="AM59" s="166" t="str">
        <f>AL32</f>
        <v>нет</v>
      </c>
      <c r="AN59" t="s">
        <v>667</v>
      </c>
      <c r="BA59" s="661" t="s">
        <v>410</v>
      </c>
      <c r="BB59" s="661"/>
      <c r="BC59" s="661"/>
      <c r="BD59" s="222" t="e">
        <f>LEN(SUBSTITUTE(CONCATENATE(BF35,#REF!,BD34,BC33,BB32),"-",""))</f>
        <v>#REF!</v>
      </c>
      <c r="BE59" s="224" t="e">
        <f>IF(BD59&gt;=3, "Да", "Нет")</f>
        <v>#REF!</v>
      </c>
      <c r="BF59" t="s">
        <v>405</v>
      </c>
      <c r="BT59">
        <f t="shared" si="3"/>
        <v>2044</v>
      </c>
      <c r="BU59">
        <v>1</v>
      </c>
      <c r="BV59" t="s">
        <v>621</v>
      </c>
    </row>
    <row r="60" spans="1:74" x14ac:dyDescent="0.25">
      <c r="X60" s="62" t="s">
        <v>418</v>
      </c>
      <c r="Y60" s="68"/>
      <c r="Z60" s="220" t="str">
        <f>IF(LEN(SUBSTITUTE(CONCATENATE(IF(CountNumber(X47,2)&gt;0, "2", "-"),IF(CountNumber(X47,5)&gt;0, "5", "-"),IF(CountNumber(X47,8)&gt;0, "8", "-")),"-",""))=3, "Да", "Нет")</f>
        <v>Нет</v>
      </c>
      <c r="AB60" s="62" t="s">
        <v>434</v>
      </c>
      <c r="AC60" s="68"/>
      <c r="AD60" s="68"/>
      <c r="AE60" s="220" t="str">
        <f>IF(LEN(SUBSTITUTE(CONCATENATE(IF(CountNumber(AB47,3)&gt;0, "3", "-"),IF(CountNumber(AB47,5)&gt;0, "5", "-"),IF(CountNumber(AB47,7)&gt;0, "7", "-")),"-",""))=3, "Да", "Нет")</f>
        <v>Нет</v>
      </c>
      <c r="AK60" s="696"/>
      <c r="AL60" s="697"/>
      <c r="AM60" s="220" t="str">
        <f>AP32</f>
        <v>нет</v>
      </c>
      <c r="AN60" t="s">
        <v>668</v>
      </c>
      <c r="BA60" s="661" t="s">
        <v>411</v>
      </c>
      <c r="BB60" s="661"/>
      <c r="BC60" s="661"/>
      <c r="BD60" s="222" t="e">
        <f>LEN(SUBSTITUTE(CONCATENATE(#REF!,BE34,BD33,BC32),"-",""))</f>
        <v>#REF!</v>
      </c>
      <c r="BE60" s="224" t="e">
        <f>IF(BD60&gt;=2, "Да", "Нет")</f>
        <v>#REF!</v>
      </c>
      <c r="BF60" t="s">
        <v>404</v>
      </c>
      <c r="BP60" s="188"/>
      <c r="BQ60" s="65"/>
      <c r="BT60">
        <f t="shared" si="3"/>
        <v>2045</v>
      </c>
      <c r="BU60">
        <v>2</v>
      </c>
      <c r="BV60" t="s">
        <v>621</v>
      </c>
    </row>
    <row r="61" spans="1:74" x14ac:dyDescent="0.25">
      <c r="X61" s="755" t="s">
        <v>452</v>
      </c>
      <c r="Y61" s="757"/>
      <c r="Z61" s="220" t="str">
        <f>IF(LEN(SUBSTITUTE(CONCATENATE(IF(CountNumber(X47,3)&gt;0, "3", "-"),IF(CountNumber(X47,6)&gt;0, "6", "-"),IF(CountNumber(X47,9)&gt;0, "9", "-")),"-",""))=3, "Да", "Нет")</f>
        <v>Нет</v>
      </c>
      <c r="AB61" s="62" t="s">
        <v>435</v>
      </c>
      <c r="AC61" s="68"/>
      <c r="AD61" s="68"/>
      <c r="AE61" s="220" t="str">
        <f>IF(LEN(SUBSTITUTE(CONCATENATE(IF(CountNumber(AB47,4)&gt;0, "4", "-"),IF(CountNumber(AB47,9)&gt;0, "9", "-"),IF(CountNumber(AB47,2)&gt;0, "2", "-")),"-",""))=3, "Да", "Нет")</f>
        <v>Нет</v>
      </c>
      <c r="AK61" s="696"/>
      <c r="AL61" s="697"/>
      <c r="AM61" s="220" t="str">
        <f>AL36</f>
        <v>нет</v>
      </c>
      <c r="AN61" t="s">
        <v>669</v>
      </c>
      <c r="BP61" s="65"/>
      <c r="BQ61" s="65"/>
      <c r="BT61">
        <f t="shared" si="3"/>
        <v>2046</v>
      </c>
      <c r="BU61">
        <v>3</v>
      </c>
      <c r="BV61" t="s">
        <v>621</v>
      </c>
    </row>
    <row r="62" spans="1:74" ht="15.75" thickBot="1" x14ac:dyDescent="0.3">
      <c r="E62" s="758" t="s">
        <v>705</v>
      </c>
      <c r="F62" s="758"/>
      <c r="G62" s="758"/>
      <c r="H62" s="758"/>
      <c r="I62" s="758"/>
      <c r="J62" s="758"/>
      <c r="K62" s="758"/>
      <c r="L62" s="758"/>
      <c r="M62" s="758"/>
      <c r="N62" s="758"/>
      <c r="O62" s="758"/>
      <c r="P62" s="758"/>
      <c r="Q62" s="758"/>
      <c r="R62" s="758"/>
      <c r="X62" s="62" t="s">
        <v>453</v>
      </c>
      <c r="Y62" s="68"/>
      <c r="Z62" s="220" t="str">
        <f>IF(LEN(SUBSTITUTE(CONCATENATE(IF(CountNumber(X47,1)&gt;0, "1", "-"),IF(CountNumber(X47,2)&gt;0, "2", "-"),IF(CountNumber(X47,3)&gt;0, "3", "-")),"-",""))=3, "Да", "Нет")</f>
        <v>Нет</v>
      </c>
      <c r="AB62" s="62" t="s">
        <v>436</v>
      </c>
      <c r="AC62" s="68"/>
      <c r="AD62" s="68"/>
      <c r="AE62" s="220" t="str">
        <f>IF(LEN(SUBSTITUTE(CONCATENATE(IF(CountNumber(AB47,4)&gt;0, "4", "-"),IF(CountNumber(AB47,3)&gt;0, "3", "-"),IF(CountNumber(AB47,8)&gt;0, "8", "-")),"-",""))=3, "Да", "Нет")</f>
        <v>Нет</v>
      </c>
      <c r="AK62" s="698"/>
      <c r="AL62" s="699"/>
      <c r="AM62" s="167" t="str">
        <f>AP36</f>
        <v xml:space="preserve">5 </v>
      </c>
      <c r="AN62" t="s">
        <v>670</v>
      </c>
      <c r="BP62" s="65"/>
      <c r="BQ62" s="65"/>
      <c r="BT62">
        <f t="shared" si="3"/>
        <v>2047</v>
      </c>
      <c r="BU62">
        <v>4</v>
      </c>
      <c r="BV62" t="s">
        <v>621</v>
      </c>
    </row>
    <row r="63" spans="1:74" ht="15.75" thickBot="1" x14ac:dyDescent="0.3">
      <c r="A63" s="25"/>
      <c r="B63" s="73"/>
      <c r="C63" s="73"/>
      <c r="D63" s="363">
        <f>ROUNDDOWN(H40,0)</f>
        <v>15</v>
      </c>
      <c r="E63" s="73"/>
      <c r="F63" s="73"/>
      <c r="G63" s="73"/>
      <c r="H63" s="73"/>
      <c r="I63" s="363">
        <f>L33</f>
        <v>35</v>
      </c>
      <c r="J63" s="73"/>
      <c r="K63" s="73"/>
      <c r="L63" s="73"/>
      <c r="M63" s="73"/>
      <c r="N63" s="363">
        <f>P40</f>
        <v>44</v>
      </c>
      <c r="O63" s="73"/>
      <c r="P63" s="73"/>
      <c r="Q63" s="73"/>
      <c r="R63" s="73"/>
      <c r="S63" s="363">
        <f>L47</f>
        <v>53</v>
      </c>
      <c r="T63" s="73"/>
      <c r="U63" s="103"/>
      <c r="X63" s="62" t="s">
        <v>454</v>
      </c>
      <c r="Y63" s="68"/>
      <c r="Z63" s="220" t="str">
        <f>IF(LEN(SUBSTITUTE(CONCATENATE(IF(CountNumber(X47,4)&gt;0, "4", "-"),IF(CountNumber(X47,5)&gt;0, "5", "-"),IF(CountNumber(X47,6)&gt;0, "6", "-")),"-",""))=3, "Да", "Нет")</f>
        <v>Нет</v>
      </c>
      <c r="AB63" s="62" t="s">
        <v>437</v>
      </c>
      <c r="AC63" s="68"/>
      <c r="AD63" s="68"/>
      <c r="AE63" s="220" t="str">
        <f>IF(LEN(SUBSTITUTE(CONCATENATE(IF(CountNumber(AB47,1)&gt;0, "1", "-"),IF(CountNumber(AB47,5)&gt;0, "5", "-"),IF(CountNumber(AB47,9)&gt;0, "9", "-")),"-",""))=3, "Да", "Нет")</f>
        <v>Нет</v>
      </c>
      <c r="BP63" s="65"/>
      <c r="BQ63" s="65"/>
      <c r="BT63">
        <f t="shared" si="3"/>
        <v>2048</v>
      </c>
      <c r="BU63">
        <v>5</v>
      </c>
      <c r="BV63" t="s">
        <v>621</v>
      </c>
    </row>
    <row r="64" spans="1:74" x14ac:dyDescent="0.25">
      <c r="A64" s="75"/>
      <c r="B64" s="65"/>
      <c r="C64" s="65"/>
      <c r="D64" s="362">
        <f>TaroDay</f>
        <v>4</v>
      </c>
      <c r="E64" s="65"/>
      <c r="F64" s="65"/>
      <c r="G64" s="65"/>
      <c r="H64" s="65"/>
      <c r="I64" s="362">
        <f>TaroMonth</f>
        <v>7</v>
      </c>
      <c r="J64" s="65"/>
      <c r="K64" s="65"/>
      <c r="L64" s="65"/>
      <c r="M64" s="65"/>
      <c r="N64" s="362">
        <f>TaroYear</f>
        <v>5</v>
      </c>
      <c r="O64" s="65"/>
      <c r="P64" s="65"/>
      <c r="Q64" s="65"/>
      <c r="R64" s="65"/>
      <c r="S64" s="362">
        <f>KN_Main</f>
        <v>8</v>
      </c>
      <c r="T64" s="65"/>
      <c r="U64" s="104"/>
      <c r="X64" s="62" t="s">
        <v>419</v>
      </c>
      <c r="Y64" s="68"/>
      <c r="Z64" s="220" t="str">
        <f>IF(LEN(SUBSTITUTE(CONCATENATE(IF(CountNumber(X47,7)&gt;0, "7", "-"),IF(CountNumber(X47,8)&gt;0, "8", "-"),IF(CountNumber(X47,9)&gt;0, "9", "-")),"-",""))=3, "Да", "Нет")</f>
        <v>Да</v>
      </c>
      <c r="AB64" s="62" t="s">
        <v>438</v>
      </c>
      <c r="AC64" s="68"/>
      <c r="AD64" s="68"/>
      <c r="AE64" s="220" t="str">
        <f>IF(LEN(SUBSTITUTE(CONCATENATE(IF(CountNumber(AB47,2)&gt;0, "2", "-"),IF(CountNumber(AB47,7)&gt;0, "7", "-"),IF(CountNumber(AB47,6)&gt;0, "6", "-")),"-",""))=3, "Да", "Нет")</f>
        <v>Да</v>
      </c>
      <c r="AK64" s="700" t="s">
        <v>382</v>
      </c>
      <c r="AL64" s="701"/>
      <c r="AM64" s="166" t="str">
        <f>AL31</f>
        <v xml:space="preserve">6 </v>
      </c>
      <c r="AN64" t="s">
        <v>671</v>
      </c>
      <c r="BP64" s="188"/>
      <c r="BQ64" s="65"/>
      <c r="BT64">
        <f t="shared" si="3"/>
        <v>2049</v>
      </c>
      <c r="BU64">
        <v>0</v>
      </c>
      <c r="BV64" t="s">
        <v>182</v>
      </c>
    </row>
    <row r="65" spans="1:74" x14ac:dyDescent="0.25">
      <c r="A65" s="75"/>
      <c r="B65" s="65"/>
      <c r="C65" s="65"/>
      <c r="D65" s="65"/>
      <c r="E65" s="65"/>
      <c r="F65" s="65"/>
      <c r="G65" s="65"/>
      <c r="H65" s="65"/>
      <c r="I65" s="65"/>
      <c r="J65" s="65"/>
      <c r="K65" s="65"/>
      <c r="L65" s="65"/>
      <c r="M65" s="65"/>
      <c r="N65" s="65"/>
      <c r="O65" s="65"/>
      <c r="P65" s="65"/>
      <c r="Q65" s="65"/>
      <c r="R65" s="65"/>
      <c r="S65" s="65"/>
      <c r="T65" s="65"/>
      <c r="U65" s="104"/>
      <c r="X65" s="62" t="s">
        <v>420</v>
      </c>
      <c r="Y65" s="68"/>
      <c r="Z65" s="220" t="str">
        <f>IF(LEN(SUBSTITUTE(CONCATENATE(IF(CountNumber(X47,1)&gt;0, "1", "-"),IF(CountNumber(X47,5)&gt;0, "5", "-"),IF(CountNumber(X47,9)&gt;0, "9", "-")),"-",""))=3, "Да", "Нет")</f>
        <v>Нет</v>
      </c>
      <c r="AB65" s="62" t="s">
        <v>439</v>
      </c>
      <c r="AC65" s="68"/>
      <c r="AD65" s="68"/>
      <c r="AE65" s="220" t="str">
        <f>IF(LEN(SUBSTITUTE(CONCATENATE(IF(CountNumber(AB47,2)&gt;0, "2", "-"),IF(CountNumber(AB47,5)&gt;0, "5", "-"),IF(CountNumber(AB47,8)&gt;0, "8", "-")),"-",""))=3, "Да", "Нет")</f>
        <v>Нет</v>
      </c>
      <c r="AK65" s="702"/>
      <c r="AL65" s="703"/>
      <c r="AM65" s="220" t="str">
        <f>AP31</f>
        <v>нет</v>
      </c>
      <c r="AN65" t="s">
        <v>672</v>
      </c>
      <c r="BP65" s="188"/>
      <c r="BQ65" s="65"/>
      <c r="BT65">
        <f t="shared" si="3"/>
        <v>2050</v>
      </c>
      <c r="BU65">
        <v>1</v>
      </c>
      <c r="BV65" t="s">
        <v>182</v>
      </c>
    </row>
    <row r="66" spans="1:74" ht="15.75" thickBot="1" x14ac:dyDescent="0.3">
      <c r="A66" s="75"/>
      <c r="B66" s="364">
        <f>ROUNDDOWN(H40-D50/2,0)</f>
        <v>7</v>
      </c>
      <c r="C66" s="365">
        <f>numberto22(B68+D64)</f>
        <v>7</v>
      </c>
      <c r="D66" s="65"/>
      <c r="E66" s="365">
        <f>numberto22(D64+F68)</f>
        <v>5</v>
      </c>
      <c r="F66" s="366">
        <f>ROUNDDOWN((F54-D50/2),0)</f>
        <v>22</v>
      </c>
      <c r="G66" s="364">
        <f>ROUNDDOWN(((I63-G67)/2+G67),0)</f>
        <v>33</v>
      </c>
      <c r="H66" s="365">
        <f>numberto22(G68+I64)</f>
        <v>8</v>
      </c>
      <c r="I66" s="65"/>
      <c r="J66" s="365">
        <f>numberto22(I64+K68)</f>
        <v>9</v>
      </c>
      <c r="K66" s="366">
        <f>ROUNDDOWN(((K67-I63)/2+I63),0)</f>
        <v>37</v>
      </c>
      <c r="L66" s="364">
        <f>ROUNDDOWN(((N63-L67)/2+L67),0)</f>
        <v>42</v>
      </c>
      <c r="M66" s="365">
        <f>numberto22(L68+N64)</f>
        <v>7</v>
      </c>
      <c r="N66" s="65"/>
      <c r="O66" s="365">
        <f>numberto22(N64+P68)</f>
        <v>7</v>
      </c>
      <c r="P66" s="366">
        <f>ROUNDDOWN(((P67-N63)/2+N63),0)</f>
        <v>46</v>
      </c>
      <c r="Q66" s="364">
        <f>ROUNDDOWN(((S63-Q67)/2+Q67),0)</f>
        <v>51</v>
      </c>
      <c r="R66" s="365">
        <f>numberto22(Q68+S64)</f>
        <v>10</v>
      </c>
      <c r="S66" s="65"/>
      <c r="T66" s="365">
        <f>numberto22(S64+U68)</f>
        <v>11</v>
      </c>
      <c r="U66" s="367">
        <f>ROUNDDOWN(((U67-S63)/2+S63),0)</f>
        <v>55</v>
      </c>
      <c r="X66" s="16" t="s">
        <v>421</v>
      </c>
      <c r="Y66" s="17"/>
      <c r="Z66" s="167" t="str">
        <f>IF(LEN(SUBSTITUTE(CONCATENATE(IF(CountNumber(X47,3)&gt;0, "3", "-"),IF(CountNumber(X47,5)&gt;0, "5", "-"),IF(CountNumber(X47,7)&gt;0, "7", "-")),"-",""))=3, "Да", "Нет")</f>
        <v>Нет</v>
      </c>
      <c r="AB66" s="16" t="s">
        <v>440</v>
      </c>
      <c r="AC66" s="17"/>
      <c r="AD66" s="17"/>
      <c r="AE66" s="167" t="str">
        <f>IF(LEN(SUBSTITUTE(CONCATENATE(IF(CountNumber(AB47,4)&gt;0, "4", "-"),IF(CountNumber(AB47,5)&gt;0, "5", "-"),IF(CountNumber(AB47,6)&gt;0, "6", "-")),"-",""))=3, "Да", "Нет")</f>
        <v>Нет</v>
      </c>
      <c r="AK66" s="702"/>
      <c r="AL66" s="703"/>
      <c r="AM66" s="220" t="str">
        <f>AL35</f>
        <v xml:space="preserve">4 </v>
      </c>
      <c r="AN66" t="s">
        <v>673</v>
      </c>
      <c r="BP66" s="188"/>
      <c r="BQ66" s="65"/>
      <c r="BT66">
        <f t="shared" si="3"/>
        <v>2051</v>
      </c>
      <c r="BU66">
        <v>2</v>
      </c>
      <c r="BV66" t="s">
        <v>182</v>
      </c>
    </row>
    <row r="67" spans="1:74" ht="15.75" thickBot="1" x14ac:dyDescent="0.3">
      <c r="A67" s="75"/>
      <c r="B67" s="65"/>
      <c r="C67" s="65"/>
      <c r="D67" s="65"/>
      <c r="E67" s="65"/>
      <c r="F67" s="368">
        <f>I36</f>
        <v>30</v>
      </c>
      <c r="G67" s="368">
        <f>F67+1</f>
        <v>31</v>
      </c>
      <c r="H67" s="65"/>
      <c r="I67" s="65"/>
      <c r="J67" s="65"/>
      <c r="K67" s="368">
        <f>O36</f>
        <v>39</v>
      </c>
      <c r="L67" s="368">
        <f>K67+1</f>
        <v>40</v>
      </c>
      <c r="M67" s="65"/>
      <c r="N67" s="65"/>
      <c r="O67" s="65"/>
      <c r="P67" s="368">
        <f>O44</f>
        <v>48</v>
      </c>
      <c r="Q67" s="368">
        <f>P67+1</f>
        <v>49</v>
      </c>
      <c r="R67" s="65"/>
      <c r="S67" s="65"/>
      <c r="T67" s="65"/>
      <c r="U67" s="369">
        <f>P67+9</f>
        <v>57</v>
      </c>
      <c r="AK67" s="704"/>
      <c r="AL67" s="705"/>
      <c r="AM67" s="167" t="str">
        <f>AP35</f>
        <v>нет</v>
      </c>
      <c r="AN67" t="s">
        <v>674</v>
      </c>
      <c r="BT67">
        <f t="shared" si="3"/>
        <v>2052</v>
      </c>
      <c r="BU67">
        <v>3</v>
      </c>
      <c r="BV67" t="s">
        <v>182</v>
      </c>
    </row>
    <row r="68" spans="1:74" ht="15.75" thickBot="1" x14ac:dyDescent="0.3">
      <c r="A68" s="370">
        <v>0</v>
      </c>
      <c r="B68" s="362">
        <f>OPV</f>
        <v>3</v>
      </c>
      <c r="C68" s="65"/>
      <c r="D68" s="371">
        <f>numberto22(B68+F68)</f>
        <v>4</v>
      </c>
      <c r="E68" s="65"/>
      <c r="F68" s="362">
        <f>KN_2</f>
        <v>1</v>
      </c>
      <c r="G68" s="362">
        <f>F68</f>
        <v>1</v>
      </c>
      <c r="H68" s="65"/>
      <c r="I68" s="365">
        <f>numberto22(G68+K68)</f>
        <v>3</v>
      </c>
      <c r="J68" s="65"/>
      <c r="K68" s="362">
        <f>KN_3</f>
        <v>2</v>
      </c>
      <c r="L68" s="362">
        <f>K68</f>
        <v>2</v>
      </c>
      <c r="M68" s="365"/>
      <c r="N68" s="365">
        <f>numberto22(L68+P68)</f>
        <v>4</v>
      </c>
      <c r="O68" s="65"/>
      <c r="P68" s="362">
        <f>KN_4</f>
        <v>2</v>
      </c>
      <c r="Q68" s="362">
        <f>P68</f>
        <v>2</v>
      </c>
      <c r="R68" s="365"/>
      <c r="S68" s="365">
        <f>numberto22(Q68+U68)</f>
        <v>5</v>
      </c>
      <c r="T68" s="65"/>
      <c r="U68" s="372">
        <f>OPV</f>
        <v>3</v>
      </c>
      <c r="X68" s="666" t="s">
        <v>422</v>
      </c>
      <c r="Y68" s="666"/>
      <c r="Z68" s="666"/>
      <c r="AB68" s="66" t="s">
        <v>441</v>
      </c>
      <c r="BT68">
        <f t="shared" si="3"/>
        <v>2053</v>
      </c>
      <c r="BU68">
        <v>4</v>
      </c>
      <c r="BV68" t="s">
        <v>182</v>
      </c>
    </row>
    <row r="69" spans="1:74" x14ac:dyDescent="0.25">
      <c r="A69" s="75"/>
      <c r="B69" s="65"/>
      <c r="C69" s="65"/>
      <c r="D69" s="365">
        <f>ABS(numberto22(B68-F68))</f>
        <v>2</v>
      </c>
      <c r="E69" s="65"/>
      <c r="F69" s="65"/>
      <c r="G69" s="65"/>
      <c r="H69" s="65"/>
      <c r="I69" s="365">
        <f>ABS(numberto22(G68-K68))</f>
        <v>1</v>
      </c>
      <c r="J69" s="65"/>
      <c r="K69" s="65"/>
      <c r="L69" s="65"/>
      <c r="M69" s="65"/>
      <c r="N69" s="365">
        <f>ABS(numberto22(L68-P68))</f>
        <v>22</v>
      </c>
      <c r="O69" s="65"/>
      <c r="P69" s="65"/>
      <c r="Q69" s="65"/>
      <c r="R69" s="65"/>
      <c r="S69" s="365">
        <f>ABS(numberto22(Q68-U68))</f>
        <v>1</v>
      </c>
      <c r="T69" s="65"/>
      <c r="U69" s="104"/>
      <c r="X69" s="60" t="s">
        <v>455</v>
      </c>
      <c r="Y69" s="72"/>
      <c r="Z69" s="166" t="str">
        <f>IF(LEN(SUBSTITUTE(CONCATENATE(IF(CountNumber(X47,1)&gt;0, "-", "1"),IF(CountNumber(X47,4)&gt;0, "-", "4"),IF(CountNumber(X47,7)&gt;0, "-", "7")),"-",""))=3, "Да", "Нет")</f>
        <v>Нет</v>
      </c>
      <c r="AB69" s="60" t="s">
        <v>442</v>
      </c>
      <c r="AC69" s="72"/>
      <c r="AD69" s="72"/>
      <c r="AE69" s="166" t="str">
        <f>IF(LEN(SUBSTITUTE(CONCATENATE(IF(CountNumber(AB47,8)&gt;0, "-", "8"),IF(CountNumber(AB47,1)&gt;0, "-", "1"),IF(CountNumber(AB47,6)&gt;0, "-", "6")),"-",""))=3, "Да", "Нет")</f>
        <v>Нет</v>
      </c>
      <c r="AK69" s="706" t="s">
        <v>383</v>
      </c>
      <c r="AL69" s="707"/>
      <c r="AM69" s="166" t="str">
        <f>AM33</f>
        <v xml:space="preserve">7 </v>
      </c>
      <c r="AN69" t="s">
        <v>675</v>
      </c>
      <c r="BT69">
        <f t="shared" si="3"/>
        <v>2054</v>
      </c>
      <c r="BU69">
        <v>5</v>
      </c>
      <c r="BV69" t="s">
        <v>182</v>
      </c>
    </row>
    <row r="70" spans="1:74" x14ac:dyDescent="0.25">
      <c r="A70" s="75"/>
      <c r="B70" s="65"/>
      <c r="C70" s="365">
        <f>ABS(B68-D72)</f>
        <v>1</v>
      </c>
      <c r="D70" s="65"/>
      <c r="E70" s="365">
        <f>ABS(numberto22(D72-F68))</f>
        <v>3</v>
      </c>
      <c r="F70" s="65"/>
      <c r="G70" s="65"/>
      <c r="H70" s="365">
        <f>ABS(numberto22(G68-I72))</f>
        <v>6</v>
      </c>
      <c r="I70" s="65"/>
      <c r="J70" s="365">
        <f>ABS(numberto22(I72-K68))</f>
        <v>5</v>
      </c>
      <c r="K70" s="65"/>
      <c r="L70" s="65"/>
      <c r="M70" s="365">
        <f>ABS(numberto22(L68-N72))</f>
        <v>3</v>
      </c>
      <c r="N70" s="65"/>
      <c r="O70" s="365">
        <f>ABS(numberto22(N72-P68))</f>
        <v>3</v>
      </c>
      <c r="P70" s="65"/>
      <c r="Q70" s="65"/>
      <c r="R70" s="365">
        <f>ABS(numberto22(S72-Q68))</f>
        <v>6</v>
      </c>
      <c r="S70" s="65"/>
      <c r="T70" s="365">
        <f>ABS(numberto22(S72-U68))</f>
        <v>5</v>
      </c>
      <c r="U70" s="104"/>
      <c r="X70" s="62" t="s">
        <v>423</v>
      </c>
      <c r="Y70" s="68"/>
      <c r="Z70" s="220" t="str">
        <f>IF(LEN(SUBSTITUTE(CONCATENATE(IF(CountNumber(X47,2)&gt;0, "-", "2"),IF(CountNumber(X47,5)&gt;0, "-", "5"),IF(CountNumber(X47,8)&gt;0, "-", "8")),"-",""))=3, "Да", "Нет")</f>
        <v>Нет</v>
      </c>
      <c r="AB70" s="62" t="s">
        <v>443</v>
      </c>
      <c r="AC70" s="171"/>
      <c r="AD70" s="68"/>
      <c r="AE70" s="220" t="str">
        <f>IF(LEN(SUBSTITUTE(CONCATENATE(IF(CountNumber(AB47,3)&gt;0, "-", "3"),IF(CountNumber(AB47,5)&gt;0, "-", "5"),IF(CountNumber(AB47,7)&gt;0, "-", "7")),"-",""))=3, "Да", "Нет")</f>
        <v>Нет</v>
      </c>
      <c r="AK70" s="708"/>
      <c r="AL70" s="709"/>
      <c r="AM70" s="220" t="str">
        <f>AQ33</f>
        <v xml:space="preserve">6 6 </v>
      </c>
      <c r="AN70" t="s">
        <v>676</v>
      </c>
      <c r="BT70">
        <f t="shared" si="3"/>
        <v>2055</v>
      </c>
      <c r="BU70">
        <v>0</v>
      </c>
      <c r="BV70" t="s">
        <v>621</v>
      </c>
    </row>
    <row r="71" spans="1:74" ht="15.75" customHeight="1" x14ac:dyDescent="0.25">
      <c r="A71" s="75"/>
      <c r="B71" s="65"/>
      <c r="C71" s="65"/>
      <c r="D71" s="65"/>
      <c r="E71" s="65"/>
      <c r="F71" s="65"/>
      <c r="G71" s="65"/>
      <c r="H71" s="65"/>
      <c r="I71" s="65"/>
      <c r="J71" s="65"/>
      <c r="K71" s="65"/>
      <c r="L71" s="65"/>
      <c r="M71" s="65"/>
      <c r="N71" s="65"/>
      <c r="O71" s="65"/>
      <c r="P71" s="65"/>
      <c r="Q71" s="65"/>
      <c r="R71" s="65"/>
      <c r="S71" s="65"/>
      <c r="T71" s="65"/>
      <c r="U71" s="104"/>
      <c r="X71" s="62" t="s">
        <v>424</v>
      </c>
      <c r="Y71" s="68"/>
      <c r="Z71" s="220" t="str">
        <f>IF(LEN(SUBSTITUTE(CONCATENATE(IF(CountNumber(X47,3)&gt;0, "-", "3"),IF(CountNumber(X47,6)&gt;0, "-", "6"),IF(CountNumber(X47,9)&gt;0, "-", "9")),"-",""))=3, "Да", "Нет")</f>
        <v>Нет</v>
      </c>
      <c r="AB71" s="62" t="s">
        <v>444</v>
      </c>
      <c r="AC71" s="171"/>
      <c r="AD71" s="68"/>
      <c r="AE71" s="220" t="str">
        <f>IF(LEN(SUBSTITUTE(CONCATENATE(IF(CountNumber(AB47,1)&gt;0, "-", "1"),IF(CountNumber(AB47,5)&gt;0, "-", "5"),IF(CountNumber(AB47,9)&gt;0, "-", "9")),"-",""))=3, "Да", "Нет")</f>
        <v>Да</v>
      </c>
      <c r="AK71" s="708"/>
      <c r="AL71" s="709"/>
      <c r="AM71" s="220" t="str">
        <f>AM37</f>
        <v xml:space="preserve">9 9 </v>
      </c>
      <c r="AN71" t="s">
        <v>677</v>
      </c>
      <c r="BT71">
        <f t="shared" ref="BT71:BT87" si="18">BT70+1</f>
        <v>2056</v>
      </c>
      <c r="BU71">
        <v>1</v>
      </c>
      <c r="BV71" t="s">
        <v>621</v>
      </c>
    </row>
    <row r="72" spans="1:74" ht="15.75" thickBot="1" x14ac:dyDescent="0.3">
      <c r="A72" s="75"/>
      <c r="B72" s="65"/>
      <c r="C72" s="65"/>
      <c r="D72" s="362">
        <f>D64</f>
        <v>4</v>
      </c>
      <c r="E72" s="65"/>
      <c r="F72" s="65"/>
      <c r="G72" s="65"/>
      <c r="H72" s="65"/>
      <c r="I72" s="362">
        <f>I64</f>
        <v>7</v>
      </c>
      <c r="J72" s="65"/>
      <c r="K72" s="65"/>
      <c r="L72" s="65"/>
      <c r="M72" s="65"/>
      <c r="N72" s="362">
        <f>N64</f>
        <v>5</v>
      </c>
      <c r="O72" s="65"/>
      <c r="P72" s="65"/>
      <c r="Q72" s="65"/>
      <c r="R72" s="65"/>
      <c r="S72" s="362">
        <f>S64</f>
        <v>8</v>
      </c>
      <c r="T72" s="65"/>
      <c r="U72" s="104"/>
      <c r="X72" s="62" t="s">
        <v>425</v>
      </c>
      <c r="Y72" s="68"/>
      <c r="Z72" s="220" t="str">
        <f>IF(LEN(SUBSTITUTE(CONCATENATE(IF(CountNumber(X47,4)&gt;0, "-", "4"),IF(CountNumber(X47,5)&gt;0, "-", "5"),IF(CountNumber(X47,6)&gt;0, "-", "6")),"-",""))=3, "Да", "Нет")</f>
        <v>Нет</v>
      </c>
      <c r="AB72" s="769" t="s">
        <v>445</v>
      </c>
      <c r="AC72" s="770"/>
      <c r="AD72" s="771"/>
      <c r="AE72" s="167" t="str">
        <f>IF(LEN(SUBSTITUTE(CONCATENATE(IF(CountNumber(AB47,2)&gt;0, "-", "2"),IF(CountNumber(AB47,5)&gt;0, "-", "5"),IF(CountNumber(AB47,8)&gt;0, "-", "8")),"-",""))=3, "Да", "Нет")</f>
        <v>Нет</v>
      </c>
      <c r="AK72" s="710"/>
      <c r="AL72" s="711"/>
      <c r="AM72" s="167" t="str">
        <f>AQ37</f>
        <v xml:space="preserve">9 </v>
      </c>
      <c r="AN72" t="s">
        <v>678</v>
      </c>
      <c r="BT72">
        <f t="shared" si="18"/>
        <v>2057</v>
      </c>
      <c r="BU72">
        <v>2</v>
      </c>
      <c r="BV72" t="s">
        <v>621</v>
      </c>
    </row>
    <row r="73" spans="1:74" ht="15.75" thickBot="1" x14ac:dyDescent="0.3">
      <c r="A73" s="26"/>
      <c r="B73" s="79"/>
      <c r="C73" s="79"/>
      <c r="D73" s="79"/>
      <c r="E73" s="79"/>
      <c r="F73" s="79"/>
      <c r="G73" s="79"/>
      <c r="H73" s="79"/>
      <c r="I73" s="79"/>
      <c r="J73" s="79"/>
      <c r="K73" s="79"/>
      <c r="L73" s="79"/>
      <c r="M73" s="79"/>
      <c r="N73" s="79"/>
      <c r="O73" s="79"/>
      <c r="P73" s="79"/>
      <c r="Q73" s="79"/>
      <c r="R73" s="79"/>
      <c r="S73" s="79"/>
      <c r="T73" s="79"/>
      <c r="U73" s="235"/>
      <c r="X73" s="62" t="s">
        <v>426</v>
      </c>
      <c r="Y73" s="68"/>
      <c r="Z73" s="220" t="str">
        <f>IF(LEN(SUBSTITUTE(CONCATENATE(IF(CountNumber(X47,7)&gt;0, "-", "7"),IF(CountNumber(X47,8)&gt;0, "-", "8"),IF(CountNumber(X47,9)&gt;0, "-", "9")),"-",""))=3, "Да", "Нет")</f>
        <v>Нет</v>
      </c>
      <c r="BE73" s="221"/>
      <c r="BT73">
        <f t="shared" si="18"/>
        <v>2058</v>
      </c>
      <c r="BU73">
        <v>3</v>
      </c>
      <c r="BV73" t="s">
        <v>621</v>
      </c>
    </row>
    <row r="74" spans="1:74" ht="15.75" thickBot="1" x14ac:dyDescent="0.3">
      <c r="K74">
        <v>2</v>
      </c>
      <c r="X74" s="62" t="s">
        <v>427</v>
      </c>
      <c r="Y74" s="68"/>
      <c r="Z74" s="220" t="str">
        <f>IF(LEN(SUBSTITUTE(CONCATENATE(IF(CountNumber(X47,1)&gt;0, "-", "1"),IF(CountNumber(X47,5)&gt;0, "-", "5"),IF(CountNumber(X47,9)&gt;0, "-", "9")),"-",""))=3, "Да", "Нет")</f>
        <v>Нет</v>
      </c>
      <c r="AB74" s="66" t="s">
        <v>446</v>
      </c>
      <c r="AC74" s="1"/>
      <c r="AE74" s="224"/>
      <c r="AK74" s="712" t="s">
        <v>384</v>
      </c>
      <c r="AL74" s="713"/>
      <c r="AM74" s="166" t="str">
        <f>AM32</f>
        <v xml:space="preserve">8 </v>
      </c>
      <c r="AN74" t="s">
        <v>679</v>
      </c>
      <c r="BT74">
        <f t="shared" si="18"/>
        <v>2059</v>
      </c>
      <c r="BU74">
        <v>4</v>
      </c>
      <c r="BV74" t="s">
        <v>621</v>
      </c>
    </row>
    <row r="75" spans="1:74" ht="15.75" thickBot="1" x14ac:dyDescent="0.3">
      <c r="X75" s="16" t="s">
        <v>428</v>
      </c>
      <c r="Y75" s="17"/>
      <c r="Z75" s="167" t="str">
        <f>IF(LEN(SUBSTITUTE(CONCATENATE(IF(CountNumber(X47,3)&gt;0, "-", "3"),IF(CountNumber(X47,5)&gt;0, "-", "5"),IF(CountNumber(X47,7)&gt;0, "-", "7")),"-",""))=3, "Да", "Нет")</f>
        <v>Нет</v>
      </c>
      <c r="AB75" s="772" t="s">
        <v>447</v>
      </c>
      <c r="AC75" s="773"/>
      <c r="AD75" s="774"/>
      <c r="AE75" s="166" t="str">
        <f>IF(LEN(SUBSTITUTE(CONCATENATE(IF(CountNumber(AB47,7)&gt;0, "7", "-"),IF(CountNumber(AB47,1)&gt;0, "1", "-")),"-",""))=2, "Да", "Нет")</f>
        <v>Нет</v>
      </c>
      <c r="AK75" s="714"/>
      <c r="AL75" s="715"/>
      <c r="AM75" s="220" t="str">
        <f>AQ32</f>
        <v xml:space="preserve">7 </v>
      </c>
      <c r="AN75" t="s">
        <v>680</v>
      </c>
      <c r="BT75">
        <f t="shared" si="18"/>
        <v>2060</v>
      </c>
      <c r="BU75">
        <v>5</v>
      </c>
      <c r="BV75" t="s">
        <v>621</v>
      </c>
    </row>
    <row r="76" spans="1:74" x14ac:dyDescent="0.25">
      <c r="AB76" s="755" t="s">
        <v>448</v>
      </c>
      <c r="AC76" s="756"/>
      <c r="AD76" s="757"/>
      <c r="AE76" s="220" t="str">
        <f>IF(LEN(SUBSTITUTE(CONCATENATE(IF(CountNumber(AB47,7)&gt;0, "7", "-"),IF(CountNumber(AB47,9)&gt;0, "9", "-")),"-",""))=2, "Да", "Нет")</f>
        <v>Нет</v>
      </c>
      <c r="AK76" s="714"/>
      <c r="AL76" s="715"/>
      <c r="AM76" s="220" t="str">
        <f>AM36</f>
        <v xml:space="preserve">8 8 </v>
      </c>
      <c r="AN76" t="s">
        <v>681</v>
      </c>
      <c r="BT76">
        <f t="shared" si="18"/>
        <v>2061</v>
      </c>
      <c r="BU76">
        <v>0</v>
      </c>
      <c r="BV76" t="s">
        <v>182</v>
      </c>
    </row>
    <row r="77" spans="1:74" ht="15.75" thickBot="1" x14ac:dyDescent="0.3">
      <c r="X77" s="666" t="s">
        <v>429</v>
      </c>
      <c r="Y77" s="666"/>
      <c r="Z77" s="666"/>
      <c r="AB77" s="755" t="s">
        <v>449</v>
      </c>
      <c r="AC77" s="756"/>
      <c r="AD77" s="757"/>
      <c r="AE77" s="220" t="str">
        <f>IF(LEN(SUBSTITUTE(CONCATENATE(IF(CountNumber(AB47,3)&gt;0, "3", "-"),IF(CountNumber(AB47,9)&gt;0, "9", "-")),"-",""))=2, "Да", "Нет")</f>
        <v>Нет</v>
      </c>
      <c r="AK77" s="716"/>
      <c r="AL77" s="717"/>
      <c r="AM77" s="167" t="str">
        <f>AQ36</f>
        <v xml:space="preserve">6 6 6 6 6 6 6 6 6 6 6 6 </v>
      </c>
      <c r="AN77" t="s">
        <v>682</v>
      </c>
      <c r="BT77">
        <f t="shared" si="18"/>
        <v>2062</v>
      </c>
      <c r="BU77">
        <v>1</v>
      </c>
      <c r="BV77" t="s">
        <v>182</v>
      </c>
    </row>
    <row r="78" spans="1:74" ht="15.75" thickBot="1" x14ac:dyDescent="0.3">
      <c r="T78" s="66" t="s">
        <v>616</v>
      </c>
      <c r="X78" s="25" t="s">
        <v>430</v>
      </c>
      <c r="Y78" s="73"/>
      <c r="Z78" s="103"/>
      <c r="AB78" s="16" t="s">
        <v>450</v>
      </c>
      <c r="AC78" s="174"/>
      <c r="AD78" s="17"/>
      <c r="AE78" s="167" t="str">
        <f>IF(LEN(SUBSTITUTE(CONCATENATE(IF(CountNumber(AB47,3)&gt;0, "3", "-"),IF(CountNumber(AB47,1)&gt;0, "1", "-")),"-",""))=2, "Да", "Нет")</f>
        <v>Нет</v>
      </c>
      <c r="BT78">
        <f t="shared" si="18"/>
        <v>2063</v>
      </c>
      <c r="BU78">
        <v>2</v>
      </c>
      <c r="BV78" t="s">
        <v>182</v>
      </c>
    </row>
    <row r="79" spans="1:74" ht="15.75" thickBot="1" x14ac:dyDescent="0.3">
      <c r="T79" s="252">
        <v>1</v>
      </c>
      <c r="U79" s="661" t="s">
        <v>617</v>
      </c>
      <c r="V79" s="661"/>
      <c r="X79" s="26" t="s">
        <v>431</v>
      </c>
      <c r="Y79" s="79"/>
      <c r="Z79" s="235"/>
      <c r="AK79" s="718" t="s">
        <v>385</v>
      </c>
      <c r="AL79" s="719"/>
      <c r="AM79" s="166" t="str">
        <f>AM31</f>
        <v xml:space="preserve">9 9 </v>
      </c>
      <c r="AN79" t="s">
        <v>683</v>
      </c>
      <c r="BT79">
        <f t="shared" si="18"/>
        <v>2064</v>
      </c>
      <c r="BU79">
        <v>3</v>
      </c>
      <c r="BV79" t="s">
        <v>182</v>
      </c>
    </row>
    <row r="80" spans="1:74" x14ac:dyDescent="0.25">
      <c r="T80" s="252">
        <v>2</v>
      </c>
      <c r="U80" s="661" t="s">
        <v>618</v>
      </c>
      <c r="V80" s="661"/>
      <c r="AB80" s="233"/>
      <c r="AC80" s="233"/>
      <c r="AD80" s="233"/>
      <c r="AK80" s="720"/>
      <c r="AL80" s="721"/>
      <c r="AM80" s="220" t="str">
        <f>AQ31</f>
        <v xml:space="preserve">2 </v>
      </c>
      <c r="AN80" t="s">
        <v>684</v>
      </c>
      <c r="BT80">
        <f t="shared" si="18"/>
        <v>2065</v>
      </c>
      <c r="BU80">
        <v>4</v>
      </c>
      <c r="BV80" t="s">
        <v>182</v>
      </c>
    </row>
    <row r="81" spans="2:74" ht="16.5" thickBot="1" x14ac:dyDescent="0.3">
      <c r="B81" s="724" t="s">
        <v>359</v>
      </c>
      <c r="C81" s="724"/>
      <c r="D81" s="724"/>
      <c r="T81" s="252">
        <v>3</v>
      </c>
      <c r="U81" s="661" t="s">
        <v>619</v>
      </c>
      <c r="V81" s="661"/>
      <c r="X81" s="666" t="s">
        <v>456</v>
      </c>
      <c r="Y81" s="666"/>
      <c r="Z81" s="666"/>
      <c r="AB81" s="646" t="s">
        <v>461</v>
      </c>
      <c r="AC81" s="646"/>
      <c r="AD81" s="646"/>
      <c r="AK81" s="720"/>
      <c r="AL81" s="721"/>
      <c r="AM81" s="220" t="str">
        <f>AM35</f>
        <v xml:space="preserve">7 </v>
      </c>
      <c r="AN81" t="s">
        <v>685</v>
      </c>
      <c r="BT81">
        <f t="shared" si="18"/>
        <v>2066</v>
      </c>
      <c r="BU81">
        <v>5</v>
      </c>
      <c r="BV81" t="s">
        <v>182</v>
      </c>
    </row>
    <row r="82" spans="2:74" ht="15.75" thickBot="1" x14ac:dyDescent="0.3">
      <c r="B82" s="667" t="s">
        <v>12</v>
      </c>
      <c r="C82" s="668"/>
      <c r="D82" s="176" t="s">
        <v>358</v>
      </c>
      <c r="T82" s="252">
        <v>4</v>
      </c>
      <c r="U82" s="661" t="s">
        <v>646</v>
      </c>
      <c r="V82" s="661"/>
      <c r="X82" s="60" t="s">
        <v>457</v>
      </c>
      <c r="Y82" s="72"/>
      <c r="Z82" s="166" t="str">
        <f>IF(LEN(SUBSTITUTE(CONCATENATE(IF(CountNumber(X42,4)&gt;0, "-", "4"),IF(CountNumber(X42,5)&gt;0, "-", "5"),IF(CountNumber(X42,2)&gt;0, "-", "2"),IF(CountNumber(X42,1)&gt;0, "1", "-")),"-",""))=4, "Да", "Нет")</f>
        <v>Нет</v>
      </c>
      <c r="AB82" s="647" t="str">
        <f>CONCATENATE(ArrayRepeatNum("1", CountNumber(X52,1)),CHAR(10),  "(первая чакра)")</f>
        <v>1 1 1 
(первая чакра)</v>
      </c>
      <c r="AC82" s="652" t="str">
        <f>CONCATENATE(ArrayRepeatNum("4", CountNumber(X52,4)), CHAR(10), "(четвертая чакра)")</f>
        <v>4 
(четвертая чакра)</v>
      </c>
      <c r="AD82" s="655" t="str">
        <f>CONCATENATE(ArrayRepeatNum("7", CountNumber(X52,7)), CHAR(10), "(седьмая чакра)")</f>
        <v>7 
(седьмая чакра)</v>
      </c>
      <c r="AK82" s="722"/>
      <c r="AL82" s="723"/>
      <c r="AM82" s="167" t="str">
        <f>AQ35</f>
        <v xml:space="preserve">3 3 3 3 </v>
      </c>
      <c r="AN82" t="s">
        <v>686</v>
      </c>
      <c r="BT82">
        <f t="shared" si="18"/>
        <v>2067</v>
      </c>
      <c r="BU82">
        <v>0</v>
      </c>
      <c r="BV82" t="s">
        <v>621</v>
      </c>
    </row>
    <row r="83" spans="2:74" x14ac:dyDescent="0.25">
      <c r="B83" s="170" t="s">
        <v>357</v>
      </c>
      <c r="C83" s="171">
        <f ca="1">YEAR(SolarDate(DOB,TODAY()))</f>
        <v>2022</v>
      </c>
      <c r="D83" s="172">
        <f ca="1">NumberTo9(SumNumbers(CONCATENATE(DOB_Day,DOB_Month,C83)))</f>
        <v>3</v>
      </c>
      <c r="T83" s="66" t="s">
        <v>620</v>
      </c>
      <c r="X83" s="62" t="s">
        <v>458</v>
      </c>
      <c r="Y83" s="68"/>
      <c r="Z83" s="220" t="str">
        <f>IF(LEN(SUBSTITUTE(CONCATENATE(IF(CountNumber(X42,6)&gt;0, "-", "6"),IF(CountNumber(X42,5)&gt;0, "-", "5"),IF(CountNumber(X42,2)&gt;0, "-", "2"),IF(CountNumber(X42,3)&gt;0, "3", "-")),"-",""))=4, "Да", "Нет")</f>
        <v>Нет</v>
      </c>
      <c r="AB83" s="648"/>
      <c r="AC83" s="653"/>
      <c r="AD83" s="656"/>
      <c r="BT83">
        <f t="shared" si="18"/>
        <v>2068</v>
      </c>
      <c r="BU83">
        <v>1</v>
      </c>
      <c r="BV83" t="s">
        <v>621</v>
      </c>
    </row>
    <row r="84" spans="2:74" x14ac:dyDescent="0.25">
      <c r="B84" s="170">
        <v>1</v>
      </c>
      <c r="C84" s="171">
        <f t="shared" ref="C84:C92" ca="1" si="19">$C$83+B84</f>
        <v>2023</v>
      </c>
      <c r="D84" s="172">
        <f t="shared" ref="D84:D92" ca="1" si="20">IF(D83+1&lt;10,D83+1,1)</f>
        <v>4</v>
      </c>
      <c r="T84" s="253" t="s">
        <v>182</v>
      </c>
      <c r="U84" s="661" t="s">
        <v>622</v>
      </c>
      <c r="V84" s="661"/>
      <c r="X84" s="62" t="s">
        <v>459</v>
      </c>
      <c r="Y84" s="68"/>
      <c r="Z84" s="220" t="str">
        <f>IF(LEN(SUBSTITUTE(CONCATENATE(IF(CountNumber(X42,4)&gt;0, "-", "4"),IF(CountNumber(X42,5)&gt;0, "-", "5"),IF(CountNumber(X42,8)&gt;0, "-", "8"),IF(CountNumber(X42,7)&gt;0, "7", "-")),"-",""))=4, "Да", "Нет")</f>
        <v>Нет</v>
      </c>
      <c r="AB84" s="648"/>
      <c r="AC84" s="653"/>
      <c r="AD84" s="656"/>
      <c r="BT84">
        <f t="shared" si="18"/>
        <v>2069</v>
      </c>
      <c r="BU84">
        <v>2</v>
      </c>
      <c r="BV84" t="s">
        <v>621</v>
      </c>
    </row>
    <row r="85" spans="2:74" ht="15.75" thickBot="1" x14ac:dyDescent="0.3">
      <c r="B85" s="170">
        <v>2</v>
      </c>
      <c r="C85" s="171">
        <f t="shared" ca="1" si="19"/>
        <v>2024</v>
      </c>
      <c r="D85" s="172">
        <f t="shared" ca="1" si="20"/>
        <v>5</v>
      </c>
      <c r="T85" s="253" t="s">
        <v>621</v>
      </c>
      <c r="U85" s="661" t="s">
        <v>623</v>
      </c>
      <c r="V85" s="661"/>
      <c r="X85" s="16" t="s">
        <v>460</v>
      </c>
      <c r="Y85" s="17"/>
      <c r="Z85" s="167" t="str">
        <f>IF(LEN(SUBSTITUTE(CONCATENATE(IF(CountNumber(X42,6)&gt;0, "-", "6"),IF(CountNumber(X42,5)&gt;0, "-", "5"),IF(CountNumber(X42,8)&gt;0, "-", "8"),IF(CountNumber(X42,9)&gt;0, "9", "-")),"-",""))=4, "Да", "Нет")</f>
        <v>Нет</v>
      </c>
      <c r="AB85" s="649" t="str">
        <f>CONCATENATE(ArrayRepeatNum("2", CountNumber(X52,2)),CHAR(10),  "(вторая чакра)")</f>
        <v>2 2 
(вторая чакра)</v>
      </c>
      <c r="AC85" s="653" t="str">
        <f>CONCATENATE(ArrayRepeatNum("5", CountNumber(X52,5)), CHAR(10), "(пятая чакра)")</f>
        <v>нет
(пятая чакра)</v>
      </c>
      <c r="AD85" s="657" t="str">
        <f>CONCATENATE(ArrayRepeatNum("8", CountNumber(X52,8)), CHAR(10), "(восьмая чакра)")</f>
        <v>8 8 
(восьмая чакра)</v>
      </c>
      <c r="BT85">
        <f t="shared" si="18"/>
        <v>2070</v>
      </c>
      <c r="BU85">
        <v>3</v>
      </c>
      <c r="BV85" t="s">
        <v>621</v>
      </c>
    </row>
    <row r="86" spans="2:74" ht="16.5" thickBot="1" x14ac:dyDescent="0.3">
      <c r="B86" s="170">
        <v>3</v>
      </c>
      <c r="C86" s="171">
        <f t="shared" ca="1" si="19"/>
        <v>2025</v>
      </c>
      <c r="D86" s="172">
        <f t="shared" ca="1" si="20"/>
        <v>6</v>
      </c>
      <c r="AB86" s="649"/>
      <c r="AC86" s="653"/>
      <c r="AD86" s="657"/>
      <c r="AK86" s="669" t="s">
        <v>214</v>
      </c>
      <c r="AL86" s="669"/>
      <c r="AM86" s="669"/>
      <c r="AN86" s="1"/>
      <c r="BT86">
        <f t="shared" si="18"/>
        <v>2071</v>
      </c>
      <c r="BU86">
        <v>4</v>
      </c>
      <c r="BV86" t="s">
        <v>621</v>
      </c>
    </row>
    <row r="87" spans="2:74" x14ac:dyDescent="0.25">
      <c r="B87" s="170">
        <v>4</v>
      </c>
      <c r="C87" s="171">
        <f t="shared" ca="1" si="19"/>
        <v>2026</v>
      </c>
      <c r="D87" s="172">
        <f t="shared" ca="1" si="20"/>
        <v>7</v>
      </c>
      <c r="AB87" s="649"/>
      <c r="AC87" s="653"/>
      <c r="AD87" s="657"/>
      <c r="AK87" s="238" t="s">
        <v>204</v>
      </c>
      <c r="AL87" s="239" t="s">
        <v>205</v>
      </c>
      <c r="AM87" s="240" t="s">
        <v>206</v>
      </c>
      <c r="AN87" s="177"/>
      <c r="BT87">
        <f t="shared" si="18"/>
        <v>2072</v>
      </c>
      <c r="BU87">
        <v>5</v>
      </c>
      <c r="BV87" t="s">
        <v>621</v>
      </c>
    </row>
    <row r="88" spans="2:74" x14ac:dyDescent="0.25">
      <c r="B88" s="170">
        <v>5</v>
      </c>
      <c r="C88" s="171">
        <f t="shared" ca="1" si="19"/>
        <v>2027</v>
      </c>
      <c r="D88" s="172">
        <f t="shared" ca="1" si="20"/>
        <v>8</v>
      </c>
      <c r="AB88" s="650" t="str">
        <f>CONCATENATE(ArrayRepeatNum("3", CountNumber(X52,3)), CHAR(10), "(третья чакра)")</f>
        <v>3 
(третья чакра)</v>
      </c>
      <c r="AC88" s="653" t="str">
        <f>CONCATENATE(ArrayRepeatNum("6", CountNumber(X52,6)),CHAR(10),  "(шестая чакра)")</f>
        <v>6 6 
(шестая чакра)</v>
      </c>
      <c r="AD88" s="658" t="str">
        <f>CONCATENATE(ArrayRepeatNum("9", CountNumber(X52,9)),CHAR(10),  "(девятая чакра)")</f>
        <v>9 9 
(девятая чакра)</v>
      </c>
      <c r="AK88" s="241">
        <f ca="1">IF(DATE(YEAR(NOW()),DOB_Month,DOB_Day)&lt;NOW(),DATE(YEAR(NOW()),DOB_Month,DOB_Day),DATE(YEAR(NOW())-1,DOB_Month,DOB_Day))</f>
        <v>44768</v>
      </c>
      <c r="AL88" s="178">
        <f t="shared" ref="AL88:AL94" ca="1" si="21">AK88+25</f>
        <v>44793</v>
      </c>
      <c r="AM88" s="242">
        <f ca="1">AK88+51</f>
        <v>44819</v>
      </c>
      <c r="AN88" s="177" t="s">
        <v>207</v>
      </c>
    </row>
    <row r="89" spans="2:74" x14ac:dyDescent="0.25">
      <c r="B89" s="170">
        <v>6</v>
      </c>
      <c r="C89" s="171">
        <f t="shared" ca="1" si="19"/>
        <v>2028</v>
      </c>
      <c r="D89" s="172">
        <f t="shared" ca="1" si="20"/>
        <v>9</v>
      </c>
      <c r="AB89" s="650"/>
      <c r="AC89" s="653"/>
      <c r="AD89" s="658"/>
      <c r="AK89" s="241">
        <f t="shared" ref="AK89:AK94" ca="1" si="22">AM88+1</f>
        <v>44820</v>
      </c>
      <c r="AL89" s="178">
        <f t="shared" ca="1" si="21"/>
        <v>44845</v>
      </c>
      <c r="AM89" s="242">
        <f ca="1">AK89+51</f>
        <v>44871</v>
      </c>
      <c r="AN89" s="177" t="s">
        <v>208</v>
      </c>
    </row>
    <row r="90" spans="2:74" ht="15.75" thickBot="1" x14ac:dyDescent="0.3">
      <c r="B90" s="170">
        <v>7</v>
      </c>
      <c r="C90" s="171">
        <f t="shared" ca="1" si="19"/>
        <v>2029</v>
      </c>
      <c r="D90" s="172">
        <f t="shared" ca="1" si="20"/>
        <v>1</v>
      </c>
      <c r="T90" s="66" t="s">
        <v>557</v>
      </c>
      <c r="AB90" s="651"/>
      <c r="AC90" s="654"/>
      <c r="AD90" s="659"/>
      <c r="AK90" s="241">
        <f t="shared" ca="1" si="22"/>
        <v>44872</v>
      </c>
      <c r="AL90" s="178">
        <f t="shared" ca="1" si="21"/>
        <v>44897</v>
      </c>
      <c r="AM90" s="242">
        <f ca="1">AK90+51</f>
        <v>44923</v>
      </c>
      <c r="AN90" s="177" t="s">
        <v>209</v>
      </c>
    </row>
    <row r="91" spans="2:74" x14ac:dyDescent="0.25">
      <c r="B91" s="170">
        <v>8</v>
      </c>
      <c r="C91" s="171">
        <f t="shared" ca="1" si="19"/>
        <v>2030</v>
      </c>
      <c r="D91" s="172">
        <f t="shared" ca="1" si="20"/>
        <v>2</v>
      </c>
      <c r="T91" s="246" t="s">
        <v>558</v>
      </c>
      <c r="V91" s="66" t="str">
        <f>VLOOKUP(NumberTo52(78-AE5),'МК Дата'!A2:B54,2,FALSE)</f>
        <v>30 июля, 28 августа, 26 сентября, 24 октября, 22 ноября, 20 декабря</v>
      </c>
      <c r="AK91" s="241">
        <f t="shared" ca="1" si="22"/>
        <v>44924</v>
      </c>
      <c r="AL91" s="178">
        <f t="shared" ca="1" si="21"/>
        <v>44949</v>
      </c>
      <c r="AM91" s="242">
        <f ca="1">AK91+51</f>
        <v>44975</v>
      </c>
      <c r="AN91" s="177" t="s">
        <v>210</v>
      </c>
    </row>
    <row r="92" spans="2:74" ht="15.75" thickBot="1" x14ac:dyDescent="0.3">
      <c r="B92" s="173">
        <v>9</v>
      </c>
      <c r="C92" s="174">
        <f t="shared" ca="1" si="19"/>
        <v>2031</v>
      </c>
      <c r="D92" s="175">
        <f t="shared" ca="1" si="20"/>
        <v>3</v>
      </c>
      <c r="T92" t="s">
        <v>647</v>
      </c>
      <c r="V92" s="66" t="str">
        <f>VLOOKUP(MK,'МК Дата'!A2:B54,2,FALSE)</f>
        <v>30 мая, 28 июня, 26 июля, 24 августа, 22 сентября,20 октября, 18 ноября, 16 декабря</v>
      </c>
      <c r="AK92" s="241">
        <f t="shared" ca="1" si="22"/>
        <v>44976</v>
      </c>
      <c r="AL92" s="178">
        <f t="shared" ca="1" si="21"/>
        <v>45001</v>
      </c>
      <c r="AM92" s="242">
        <f ca="1">AK92+51</f>
        <v>45027</v>
      </c>
      <c r="AN92" s="177" t="s">
        <v>211</v>
      </c>
    </row>
    <row r="93" spans="2:74" x14ac:dyDescent="0.25">
      <c r="T93" s="246"/>
      <c r="AK93" s="241">
        <f t="shared" ca="1" si="22"/>
        <v>45028</v>
      </c>
      <c r="AL93" s="178">
        <f t="shared" ca="1" si="21"/>
        <v>45053</v>
      </c>
      <c r="AM93" s="242">
        <f ca="1">AK93+52</f>
        <v>45080</v>
      </c>
      <c r="AN93" s="177" t="s">
        <v>212</v>
      </c>
    </row>
    <row r="94" spans="2:74" ht="15.75" thickBot="1" x14ac:dyDescent="0.3">
      <c r="T94" s="251" t="s">
        <v>624</v>
      </c>
      <c r="AB94" s="233"/>
      <c r="AC94" s="233"/>
      <c r="AD94" s="233"/>
      <c r="AK94" s="243">
        <f t="shared" ca="1" si="22"/>
        <v>45081</v>
      </c>
      <c r="AL94" s="244">
        <f t="shared" ca="1" si="21"/>
        <v>45106</v>
      </c>
      <c r="AM94" s="245">
        <f ca="1">AK94+51</f>
        <v>45132</v>
      </c>
      <c r="AN94" s="177" t="s">
        <v>213</v>
      </c>
    </row>
    <row r="95" spans="2:74" x14ac:dyDescent="0.25">
      <c r="U95" s="66" t="s">
        <v>46</v>
      </c>
      <c r="V95" s="66" t="str">
        <f>VLOOKUP(OPV,'Кармические Страны'!A2:B23,2,FALSE)</f>
        <v>Абхазия, Индонезия, Исландия, Йемен, Кокосовые острова, Маврикий, Непал, Норфолк остров, Руанда, Сербия, Синт-Эстатиус, Уругвай, Чехия</v>
      </c>
    </row>
    <row r="96" spans="2:74" ht="18" x14ac:dyDescent="0.35">
      <c r="T96" s="246"/>
      <c r="U96" s="66" t="s">
        <v>625</v>
      </c>
      <c r="V96" s="66" t="str">
        <f>IF(OPV_DOP=0, "-", VLOOKUP(OPV_DOP,'Кармические Страны'!A2:B23,2,FALSE))</f>
        <v>-</v>
      </c>
    </row>
    <row r="97" spans="2:39" x14ac:dyDescent="0.25">
      <c r="T97" s="246"/>
      <c r="U97" s="66" t="s">
        <v>615</v>
      </c>
      <c r="V97" s="66" t="str">
        <f>VLOOKUP(AG25,'Кармические Страны'!A2:B23,2,FALSE)</f>
        <v>Бонэйр, Великобритания, Джерси, Маршалловы Острова, Саудовская Аравия, Швеция</v>
      </c>
    </row>
    <row r="98" spans="2:39" ht="18" x14ac:dyDescent="0.35">
      <c r="T98" s="246"/>
      <c r="U98" s="66" t="s">
        <v>626</v>
      </c>
      <c r="V98" s="66" t="str">
        <f>VLOOKUP(AA25,'Кармические Страны'!A2:B23,2,FALSE)</f>
        <v>Австрия, Алжир, Ангола, Ботсвана, Нагорно-Карабахская Республика, Нидерланды, Пакистан, Португалия</v>
      </c>
      <c r="AH98" s="422" t="s">
        <v>742</v>
      </c>
      <c r="AI98" s="423">
        <f>YEAR(DOB)</f>
        <v>1989</v>
      </c>
      <c r="AJ98" s="423">
        <f>$AI$98+AJ99</f>
        <v>1990</v>
      </c>
      <c r="AK98" s="423">
        <f t="shared" ref="AK98:AM98" si="23">$AI$98+AK99</f>
        <v>1991</v>
      </c>
      <c r="AL98" s="423">
        <f t="shared" si="23"/>
        <v>1992</v>
      </c>
      <c r="AM98" s="424">
        <f t="shared" si="23"/>
        <v>1993</v>
      </c>
    </row>
    <row r="99" spans="2:39" ht="18.75" thickBot="1" x14ac:dyDescent="0.4">
      <c r="T99" s="246"/>
      <c r="U99" s="66" t="s">
        <v>627</v>
      </c>
      <c r="V99" s="66" t="str">
        <f>VLOOKUP(AC25,'Кармические Страны'!A2:B23,2,FALSE)</f>
        <v>Боливия, Замбия, Испания, Мальдивы, Украина</v>
      </c>
      <c r="AH99" s="425" t="s">
        <v>743</v>
      </c>
      <c r="AI99" s="65">
        <v>0</v>
      </c>
      <c r="AJ99" s="65">
        <v>1</v>
      </c>
      <c r="AK99" s="65">
        <v>2</v>
      </c>
      <c r="AL99" s="65">
        <v>3</v>
      </c>
      <c r="AM99" s="426">
        <v>4</v>
      </c>
    </row>
    <row r="100" spans="2:39" ht="18" x14ac:dyDescent="0.35">
      <c r="T100" s="246"/>
      <c r="U100" s="66" t="s">
        <v>628</v>
      </c>
      <c r="V100" s="66" t="str">
        <f>VLOOKUP(AE25,'Кармические Страны'!A2:B23,2,FALSE)</f>
        <v>Боливия, Замбия, Испания, Мальдивы, Украина</v>
      </c>
      <c r="AH100" s="781" t="s">
        <v>621</v>
      </c>
      <c r="AI100" s="60">
        <f>TP</f>
        <v>11</v>
      </c>
      <c r="AJ100" s="72">
        <f>TP_22</f>
        <v>9</v>
      </c>
      <c r="AK100" s="72">
        <f>TP_3</f>
        <v>20</v>
      </c>
      <c r="AL100" s="72">
        <f>TP_4</f>
        <v>12</v>
      </c>
      <c r="AM100" s="61">
        <f>TP_Main</f>
        <v>8</v>
      </c>
    </row>
    <row r="101" spans="2:39" ht="15.75" thickBot="1" x14ac:dyDescent="0.3">
      <c r="T101" s="246"/>
      <c r="U101" s="66"/>
      <c r="V101" s="66"/>
      <c r="AH101" s="782"/>
      <c r="AI101" s="16">
        <f>OPV</f>
        <v>3</v>
      </c>
      <c r="AJ101" s="17">
        <f>KN_2</f>
        <v>1</v>
      </c>
      <c r="AK101" s="17">
        <f>KN_3</f>
        <v>2</v>
      </c>
      <c r="AL101" s="17">
        <f>KN_4</f>
        <v>2</v>
      </c>
      <c r="AM101" s="18">
        <f>KN_Main</f>
        <v>8</v>
      </c>
    </row>
    <row r="102" spans="2:39" x14ac:dyDescent="0.25">
      <c r="AH102" s="427" t="s">
        <v>222</v>
      </c>
      <c r="AI102" s="428">
        <f>KarmicShadow(DOB,DATE(AI98, DOB_Month, DOB_Day),VALUE(OPV))</f>
        <v>1</v>
      </c>
      <c r="AJ102" s="428">
        <f>KarmicShadow(DOB,DATE(AJ98, DOB_Month, DOB_Day),VALUE(OPV))</f>
        <v>1</v>
      </c>
      <c r="AK102" s="428">
        <f>KarmicShadow(DOB,DATE(AK98, DOB_Month, DOB_Day),VALUE(OPV))</f>
        <v>1</v>
      </c>
      <c r="AL102" s="428">
        <f>KarmicShadow(DOB,DATE(AL98, DOB_Month, DOB_Day),VALUE(OPV))</f>
        <v>1</v>
      </c>
      <c r="AM102" s="428">
        <f>KarmicShadow(DOB,DATE(AM98, DOB_Month, DOB_Day),VALUE(OPV))</f>
        <v>-1</v>
      </c>
    </row>
    <row r="104" spans="2:39" x14ac:dyDescent="0.25">
      <c r="U104" s="665" t="s">
        <v>253</v>
      </c>
      <c r="V104" s="665"/>
      <c r="W104" s="22">
        <f>VALUE(MID(U38,1,1))</f>
        <v>5</v>
      </c>
      <c r="X104" s="22">
        <f>VALUE(MID(U38,2,1))</f>
        <v>1</v>
      </c>
      <c r="Y104" s="22">
        <f>VALUE(MID(U38,3,1))</f>
        <v>8</v>
      </c>
      <c r="Z104" s="22">
        <f>VALUE(MID(U38,4,1))</f>
        <v>5</v>
      </c>
      <c r="AA104" s="22">
        <f>VALUE(MID(U38,5,1))</f>
        <v>3</v>
      </c>
      <c r="AB104" s="22">
        <f>VALUE(MID(U38,6,1))</f>
        <v>2</v>
      </c>
      <c r="AC104" s="22">
        <f>VALUE(MID(U38,7,1))</f>
        <v>3</v>
      </c>
      <c r="AH104" s="422" t="s">
        <v>742</v>
      </c>
      <c r="AI104" s="423">
        <f>YEAR(DOB)+AI105</f>
        <v>1994</v>
      </c>
      <c r="AJ104" s="423">
        <f>$AI$98+AJ105</f>
        <v>1995</v>
      </c>
      <c r="AK104" s="423">
        <f t="shared" ref="AK104" si="24">$AI$98+AK105</f>
        <v>1996</v>
      </c>
      <c r="AL104" s="423">
        <f t="shared" ref="AL104" si="25">$AI$98+AL105</f>
        <v>1997</v>
      </c>
      <c r="AM104" s="424">
        <f t="shared" ref="AM104" si="26">$AI$98+AM105</f>
        <v>1998</v>
      </c>
    </row>
    <row r="105" spans="2:39" ht="15.75" thickBot="1" x14ac:dyDescent="0.3">
      <c r="U105" s="661" t="s">
        <v>42</v>
      </c>
      <c r="V105" s="661"/>
      <c r="W105" s="164">
        <v>12</v>
      </c>
      <c r="X105" s="164">
        <v>24</v>
      </c>
      <c r="Y105" s="164">
        <v>36</v>
      </c>
      <c r="Z105" s="164">
        <v>48</v>
      </c>
      <c r="AA105" s="164">
        <v>60</v>
      </c>
      <c r="AB105" s="164">
        <v>72</v>
      </c>
      <c r="AC105" s="164">
        <v>84</v>
      </c>
      <c r="AH105" s="425" t="s">
        <v>743</v>
      </c>
      <c r="AI105" s="65">
        <v>5</v>
      </c>
      <c r="AJ105" s="65">
        <v>6</v>
      </c>
      <c r="AK105" s="65">
        <v>7</v>
      </c>
      <c r="AL105" s="65">
        <v>8</v>
      </c>
      <c r="AM105" s="426">
        <v>9</v>
      </c>
    </row>
    <row r="106" spans="2:39" x14ac:dyDescent="0.25">
      <c r="T106" s="246"/>
      <c r="U106" s="661" t="s">
        <v>229</v>
      </c>
      <c r="V106" s="661"/>
      <c r="W106" s="68">
        <v>5</v>
      </c>
      <c r="X106" s="68">
        <v>5</v>
      </c>
      <c r="Y106" s="68">
        <v>5</v>
      </c>
      <c r="Z106" s="68">
        <v>5</v>
      </c>
      <c r="AA106" s="68">
        <v>5</v>
      </c>
      <c r="AB106" s="68">
        <v>5</v>
      </c>
      <c r="AC106" s="68">
        <v>5</v>
      </c>
      <c r="AH106" s="775" t="s">
        <v>182</v>
      </c>
      <c r="AI106" s="60">
        <f>OPV</f>
        <v>3</v>
      </c>
      <c r="AJ106" s="72">
        <f>KN_2</f>
        <v>1</v>
      </c>
      <c r="AK106" s="72">
        <f>KN_3</f>
        <v>2</v>
      </c>
      <c r="AL106" s="72">
        <f>KN_4</f>
        <v>2</v>
      </c>
      <c r="AM106" s="61">
        <f>KN_Main</f>
        <v>8</v>
      </c>
    </row>
    <row r="107" spans="2:39" ht="15.75" thickBot="1" x14ac:dyDescent="0.3">
      <c r="D107" t="s">
        <v>142</v>
      </c>
      <c r="F107" t="str">
        <f>CONCATENATE(D107, " - ОПВ ", OPV)</f>
        <v>Тень Кармы - ОПВ 3</v>
      </c>
      <c r="T107" s="246"/>
      <c r="U107" s="66"/>
      <c r="V107" s="66"/>
      <c r="AH107" s="776"/>
      <c r="AI107" s="16">
        <f>TP</f>
        <v>11</v>
      </c>
      <c r="AJ107" s="17">
        <f>TP_22</f>
        <v>9</v>
      </c>
      <c r="AK107" s="17">
        <f>TP_3</f>
        <v>20</v>
      </c>
      <c r="AL107" s="17">
        <f>TP_4</f>
        <v>12</v>
      </c>
      <c r="AM107" s="18">
        <f>TP_Main</f>
        <v>8</v>
      </c>
    </row>
    <row r="108" spans="2:39" x14ac:dyDescent="0.25">
      <c r="T108" s="246"/>
      <c r="U108" s="665" t="s">
        <v>255</v>
      </c>
      <c r="V108" s="665"/>
      <c r="W108" s="22">
        <f>VALUE(MID(U42,1,1))</f>
        <v>3</v>
      </c>
      <c r="X108" s="22">
        <f>VALUE(MID(U42,2,1))</f>
        <v>6</v>
      </c>
      <c r="Y108" s="22">
        <f>VALUE(MID(U42,3,1))</f>
        <v>1</v>
      </c>
      <c r="Z108" s="22">
        <f>VALUE(MID(U42,4,1))</f>
        <v>9</v>
      </c>
      <c r="AA108" s="22">
        <f>VALUE(MID(U42,5,1))</f>
        <v>9</v>
      </c>
      <c r="AB108" s="22">
        <f>VALUE(MID(U42,6,1))</f>
        <v>8</v>
      </c>
      <c r="AC108" s="22">
        <f>VALUE(MID(U42,7,1))</f>
        <v>0</v>
      </c>
      <c r="AH108" s="427" t="s">
        <v>222</v>
      </c>
      <c r="AI108" s="428">
        <f>KarmicShadow(DOB,DATE(AI104, DOB_Month, DOB_Day),VALUE(OPV))</f>
        <v>-1</v>
      </c>
      <c r="AJ108" s="428">
        <f>KarmicShadow(DOB,DATE(AJ104, DOB_Month, DOB_Day),VALUE(OPV))</f>
        <v>-1</v>
      </c>
      <c r="AK108" s="428">
        <f>KarmicShadow(DOB,DATE(AK104, DOB_Month, DOB_Day),VALUE(OPV))</f>
        <v>1</v>
      </c>
      <c r="AL108" s="428">
        <f>KarmicShadow(DOB,DATE(AL104, DOB_Month, DOB_Day),VALUE(OPV))</f>
        <v>1</v>
      </c>
      <c r="AM108" s="428">
        <f>KarmicShadow(DOB,DATE(AM104, DOB_Month, DOB_Day),VALUE(OPV))</f>
        <v>1</v>
      </c>
    </row>
    <row r="109" spans="2:39" x14ac:dyDescent="0.25">
      <c r="F109" s="83">
        <f ca="1">DATE(YEAR(TODAY()),DOB_Month,DOB_Day)</f>
        <v>44768</v>
      </c>
      <c r="T109" s="246"/>
      <c r="U109" s="661" t="s">
        <v>42</v>
      </c>
      <c r="V109" s="661"/>
      <c r="W109" s="164">
        <v>12</v>
      </c>
      <c r="X109" s="164">
        <v>24</v>
      </c>
      <c r="Y109" s="164">
        <v>36</v>
      </c>
      <c r="Z109" s="164">
        <v>48</v>
      </c>
      <c r="AA109" s="164">
        <v>60</v>
      </c>
      <c r="AB109" s="164">
        <v>72</v>
      </c>
      <c r="AC109" s="164">
        <v>84</v>
      </c>
    </row>
    <row r="110" spans="2:39" x14ac:dyDescent="0.25">
      <c r="D110" t="s">
        <v>700</v>
      </c>
      <c r="F110">
        <f ca="1">YEAR(F109)</f>
        <v>2022</v>
      </c>
      <c r="T110" s="246"/>
      <c r="U110" s="66"/>
      <c r="V110" s="66"/>
      <c r="AH110" s="422" t="s">
        <v>742</v>
      </c>
      <c r="AI110" s="423">
        <f>YEAR(DOB)+AI111</f>
        <v>1999</v>
      </c>
      <c r="AJ110" s="423">
        <f>$AI$98+AJ111</f>
        <v>2000</v>
      </c>
      <c r="AK110" s="423">
        <f t="shared" ref="AK110" si="27">$AI$98+AK111</f>
        <v>2001</v>
      </c>
      <c r="AL110" s="423">
        <f t="shared" ref="AL110" si="28">$AI$98+AL111</f>
        <v>2002</v>
      </c>
      <c r="AM110" s="424">
        <f t="shared" ref="AM110" si="29">$AI$98+AM111</f>
        <v>2003</v>
      </c>
    </row>
    <row r="111" spans="2:39" ht="15.75" thickBot="1" x14ac:dyDescent="0.3">
      <c r="T111" s="246"/>
      <c r="U111" s="66"/>
      <c r="V111" s="66"/>
      <c r="AH111" s="425" t="s">
        <v>743</v>
      </c>
      <c r="AI111" s="65">
        <v>10</v>
      </c>
      <c r="AJ111" s="65">
        <v>11</v>
      </c>
      <c r="AK111" s="65">
        <v>12</v>
      </c>
      <c r="AL111" s="65">
        <v>13</v>
      </c>
      <c r="AM111" s="426">
        <v>14</v>
      </c>
    </row>
    <row r="112" spans="2:39" x14ac:dyDescent="0.25">
      <c r="B112">
        <v>1</v>
      </c>
      <c r="C112">
        <v>2</v>
      </c>
      <c r="D112">
        <v>3</v>
      </c>
      <c r="E112">
        <v>4</v>
      </c>
      <c r="F112">
        <v>5</v>
      </c>
      <c r="G112">
        <v>6</v>
      </c>
      <c r="H112">
        <v>7</v>
      </c>
      <c r="I112">
        <v>8</v>
      </c>
      <c r="J112">
        <v>9</v>
      </c>
      <c r="K112">
        <v>10</v>
      </c>
      <c r="L112">
        <v>11</v>
      </c>
      <c r="M112">
        <v>12</v>
      </c>
      <c r="N112">
        <v>13</v>
      </c>
      <c r="O112">
        <v>14</v>
      </c>
      <c r="P112">
        <v>15</v>
      </c>
      <c r="Q112">
        <v>16</v>
      </c>
      <c r="R112">
        <v>17</v>
      </c>
      <c r="S112">
        <v>18</v>
      </c>
      <c r="T112">
        <v>19</v>
      </c>
      <c r="U112">
        <v>20</v>
      </c>
      <c r="V112">
        <v>21</v>
      </c>
      <c r="W112">
        <v>22</v>
      </c>
      <c r="AH112" s="775" t="s">
        <v>621</v>
      </c>
      <c r="AI112" s="60">
        <f>TP</f>
        <v>11</v>
      </c>
      <c r="AJ112" s="72">
        <f>TP_22</f>
        <v>9</v>
      </c>
      <c r="AK112" s="72">
        <f>TP_3</f>
        <v>20</v>
      </c>
      <c r="AL112" s="72">
        <f>TP_4</f>
        <v>12</v>
      </c>
      <c r="AM112" s="61">
        <f>TP_Main</f>
        <v>8</v>
      </c>
    </row>
    <row r="113" spans="2:48" ht="15.75" thickBot="1" x14ac:dyDescent="0.3">
      <c r="B113">
        <v>-10</v>
      </c>
      <c r="C113">
        <v>-9</v>
      </c>
      <c r="D113">
        <v>-8</v>
      </c>
      <c r="E113">
        <v>-7</v>
      </c>
      <c r="F113">
        <v>-6</v>
      </c>
      <c r="G113">
        <v>-5</v>
      </c>
      <c r="H113">
        <v>-4</v>
      </c>
      <c r="I113">
        <v>-3</v>
      </c>
      <c r="J113">
        <v>-2</v>
      </c>
      <c r="K113">
        <v>-1</v>
      </c>
      <c r="L113">
        <v>0</v>
      </c>
      <c r="M113">
        <v>1</v>
      </c>
      <c r="N113">
        <v>2</v>
      </c>
      <c r="O113">
        <v>3</v>
      </c>
      <c r="P113">
        <v>4</v>
      </c>
      <c r="Q113">
        <v>5</v>
      </c>
      <c r="R113">
        <v>6</v>
      </c>
      <c r="S113">
        <v>7</v>
      </c>
      <c r="T113">
        <v>8</v>
      </c>
      <c r="U113">
        <v>9</v>
      </c>
      <c r="V113">
        <v>10</v>
      </c>
      <c r="W113">
        <v>11</v>
      </c>
      <c r="AH113" s="776"/>
      <c r="AI113" s="16">
        <f>OPV</f>
        <v>3</v>
      </c>
      <c r="AJ113" s="17">
        <f>KN_2</f>
        <v>1</v>
      </c>
      <c r="AK113" s="17">
        <f>KN_3</f>
        <v>2</v>
      </c>
      <c r="AL113" s="17">
        <f>KN_4</f>
        <v>2</v>
      </c>
      <c r="AM113" s="18">
        <f>KN_Main</f>
        <v>8</v>
      </c>
    </row>
    <row r="114" spans="2:48" x14ac:dyDescent="0.25">
      <c r="B114">
        <f t="shared" ref="B114:W114" ca="1" si="30">KarmicShadow(DOB,DATE(YEAR($F$109)+B113, MONTH($F$109), DAY($F$109)),VALUE(OPV))</f>
        <v>-1</v>
      </c>
      <c r="C114">
        <f t="shared" ca="1" si="30"/>
        <v>-1</v>
      </c>
      <c r="D114">
        <f t="shared" ca="1" si="30"/>
        <v>1</v>
      </c>
      <c r="E114">
        <f t="shared" ca="1" si="30"/>
        <v>1</v>
      </c>
      <c r="F114">
        <f t="shared" ca="1" si="30"/>
        <v>1</v>
      </c>
      <c r="G114">
        <f t="shared" ca="1" si="30"/>
        <v>-1</v>
      </c>
      <c r="H114">
        <f t="shared" ca="1" si="30"/>
        <v>-1</v>
      </c>
      <c r="I114">
        <f t="shared" ca="1" si="30"/>
        <v>-1</v>
      </c>
      <c r="J114">
        <f t="shared" ca="1" si="30"/>
        <v>1</v>
      </c>
      <c r="K114">
        <f t="shared" ca="1" si="30"/>
        <v>1</v>
      </c>
      <c r="L114">
        <f t="shared" ca="1" si="30"/>
        <v>1</v>
      </c>
      <c r="M114">
        <f t="shared" ca="1" si="30"/>
        <v>-1</v>
      </c>
      <c r="N114">
        <f t="shared" ca="1" si="30"/>
        <v>-1</v>
      </c>
      <c r="O114">
        <f t="shared" ca="1" si="30"/>
        <v>-1</v>
      </c>
      <c r="P114">
        <f t="shared" ca="1" si="30"/>
        <v>1</v>
      </c>
      <c r="Q114">
        <f t="shared" ca="1" si="30"/>
        <v>1</v>
      </c>
      <c r="R114">
        <f t="shared" ca="1" si="30"/>
        <v>1</v>
      </c>
      <c r="S114">
        <f t="shared" ca="1" si="30"/>
        <v>-1</v>
      </c>
      <c r="T114">
        <f t="shared" ca="1" si="30"/>
        <v>-1</v>
      </c>
      <c r="U114">
        <f t="shared" ca="1" si="30"/>
        <v>-1</v>
      </c>
      <c r="V114">
        <f t="shared" ca="1" si="30"/>
        <v>1</v>
      </c>
      <c r="W114">
        <f t="shared" ca="1" si="30"/>
        <v>1</v>
      </c>
      <c r="AH114" s="427" t="s">
        <v>222</v>
      </c>
      <c r="AI114" s="428">
        <f>KarmicShadow(DOB,DATE(AI110, DOB_Month, DOB_Day),VALUE(OPV))</f>
        <v>-1</v>
      </c>
      <c r="AJ114" s="428">
        <f>KarmicShadow(DOB,DATE(AJ110, DOB_Month, DOB_Day),VALUE(OPV))</f>
        <v>-1</v>
      </c>
      <c r="AK114" s="428">
        <f>KarmicShadow(DOB,DATE(AK110, DOB_Month, DOB_Day),VALUE(OPV))</f>
        <v>-1</v>
      </c>
      <c r="AL114" s="428">
        <f>KarmicShadow(DOB,DATE(AL110, DOB_Month, DOB_Day),VALUE(OPV))</f>
        <v>1</v>
      </c>
      <c r="AM114" s="428">
        <f>KarmicShadow(DOB,DATE(AM110, DOB_Month, DOB_Day),VALUE(OPV))</f>
        <v>1</v>
      </c>
    </row>
    <row r="115" spans="2:48" x14ac:dyDescent="0.25">
      <c r="B115" s="24">
        <f t="shared" ref="B115:W115" ca="1" si="31">YEAR(DATE(YEAR($F$109)+B113, MONTH($F$109), DAY($F$109)))</f>
        <v>2012</v>
      </c>
      <c r="C115" s="24">
        <f t="shared" ca="1" si="31"/>
        <v>2013</v>
      </c>
      <c r="D115" s="24">
        <f t="shared" ca="1" si="31"/>
        <v>2014</v>
      </c>
      <c r="E115" s="24">
        <f t="shared" ca="1" si="31"/>
        <v>2015</v>
      </c>
      <c r="F115" s="24">
        <f t="shared" ca="1" si="31"/>
        <v>2016</v>
      </c>
      <c r="G115" s="24">
        <f t="shared" ca="1" si="31"/>
        <v>2017</v>
      </c>
      <c r="H115" s="24">
        <f t="shared" ca="1" si="31"/>
        <v>2018</v>
      </c>
      <c r="I115" s="24">
        <f t="shared" ca="1" si="31"/>
        <v>2019</v>
      </c>
      <c r="J115" s="24">
        <f t="shared" ca="1" si="31"/>
        <v>2020</v>
      </c>
      <c r="K115" s="24">
        <f t="shared" ca="1" si="31"/>
        <v>2021</v>
      </c>
      <c r="L115" s="24">
        <f t="shared" ca="1" si="31"/>
        <v>2022</v>
      </c>
      <c r="M115" s="24">
        <f t="shared" ca="1" si="31"/>
        <v>2023</v>
      </c>
      <c r="N115" s="24">
        <f t="shared" ca="1" si="31"/>
        <v>2024</v>
      </c>
      <c r="O115" s="24">
        <f t="shared" ca="1" si="31"/>
        <v>2025</v>
      </c>
      <c r="P115" s="24">
        <f t="shared" ca="1" si="31"/>
        <v>2026</v>
      </c>
      <c r="Q115" s="24">
        <f t="shared" ca="1" si="31"/>
        <v>2027</v>
      </c>
      <c r="R115" s="24">
        <f t="shared" ca="1" si="31"/>
        <v>2028</v>
      </c>
      <c r="S115" s="24">
        <f t="shared" ca="1" si="31"/>
        <v>2029</v>
      </c>
      <c r="T115" s="24">
        <f t="shared" ca="1" si="31"/>
        <v>2030</v>
      </c>
      <c r="U115" s="24">
        <f t="shared" ca="1" si="31"/>
        <v>2031</v>
      </c>
      <c r="V115" s="24">
        <f t="shared" ca="1" si="31"/>
        <v>2032</v>
      </c>
      <c r="W115" s="24">
        <f t="shared" ca="1" si="31"/>
        <v>2033</v>
      </c>
    </row>
    <row r="116" spans="2:48" x14ac:dyDescent="0.25">
      <c r="T116" s="246"/>
      <c r="U116" s="66"/>
      <c r="V116" s="66"/>
      <c r="AH116" s="422" t="s">
        <v>742</v>
      </c>
      <c r="AI116" s="423">
        <f>YEAR(DOB)+AI117</f>
        <v>2004</v>
      </c>
      <c r="AJ116" s="423">
        <f>$AI$98+AJ117</f>
        <v>2005</v>
      </c>
      <c r="AK116" s="423">
        <f t="shared" ref="AK116" si="32">$AI$98+AK117</f>
        <v>2006</v>
      </c>
      <c r="AL116" s="423">
        <f t="shared" ref="AL116" si="33">$AI$98+AL117</f>
        <v>2007</v>
      </c>
      <c r="AM116" s="424">
        <f t="shared" ref="AM116" si="34">$AI$98+AM117</f>
        <v>2008</v>
      </c>
    </row>
    <row r="117" spans="2:48" ht="15.75" thickBot="1" x14ac:dyDescent="0.3">
      <c r="AH117" s="425" t="s">
        <v>743</v>
      </c>
      <c r="AI117" s="65">
        <v>15</v>
      </c>
      <c r="AJ117" s="65">
        <v>16</v>
      </c>
      <c r="AK117" s="65">
        <v>17</v>
      </c>
      <c r="AL117" s="65">
        <v>18</v>
      </c>
      <c r="AM117" s="426">
        <v>19</v>
      </c>
    </row>
    <row r="118" spans="2:48" x14ac:dyDescent="0.25">
      <c r="AH118" s="775" t="s">
        <v>182</v>
      </c>
      <c r="AI118" s="60">
        <f>OPV</f>
        <v>3</v>
      </c>
      <c r="AJ118" s="72">
        <f>KN_2</f>
        <v>1</v>
      </c>
      <c r="AK118" s="72">
        <f>KN_3</f>
        <v>2</v>
      </c>
      <c r="AL118" s="72">
        <f>KN_4</f>
        <v>2</v>
      </c>
      <c r="AM118" s="61">
        <f>KN_Main</f>
        <v>8</v>
      </c>
      <c r="AR118" s="178">
        <f ca="1">AK88</f>
        <v>44768</v>
      </c>
      <c r="AS118" t="s">
        <v>462</v>
      </c>
      <c r="AU118">
        <v>0</v>
      </c>
      <c r="AV118" t="s">
        <v>463</v>
      </c>
    </row>
    <row r="119" spans="2:48" ht="15.75" thickBot="1" x14ac:dyDescent="0.3">
      <c r="AH119" s="776"/>
      <c r="AI119" s="16">
        <f>TP</f>
        <v>11</v>
      </c>
      <c r="AJ119" s="17">
        <f>TP_22</f>
        <v>9</v>
      </c>
      <c r="AK119" s="17">
        <f>TP_3</f>
        <v>20</v>
      </c>
      <c r="AL119" s="17">
        <f>TP_4</f>
        <v>12</v>
      </c>
      <c r="AM119" s="18">
        <f>TP_Main</f>
        <v>8</v>
      </c>
      <c r="AR119" s="511">
        <f ca="1">AR118+12</f>
        <v>44780</v>
      </c>
      <c r="AS119" t="s">
        <v>805</v>
      </c>
      <c r="AU119">
        <f>9/2</f>
        <v>4.5</v>
      </c>
      <c r="AV119" t="s">
        <v>806</v>
      </c>
    </row>
    <row r="120" spans="2:48" x14ac:dyDescent="0.25">
      <c r="W120">
        <v>1</v>
      </c>
      <c r="X120">
        <v>1</v>
      </c>
      <c r="Z120">
        <f t="shared" ref="Z120:Z128" ca="1" si="35">C83</f>
        <v>2022</v>
      </c>
      <c r="AA120">
        <f t="shared" ref="AA120:AA128" ca="1" si="36">D83</f>
        <v>3</v>
      </c>
      <c r="AB120">
        <f t="shared" ref="AB120:AB128" ca="1" si="37">VLOOKUP(AA120,$W$120:$X$128,2,FALSE)</f>
        <v>3</v>
      </c>
      <c r="AH120" s="427" t="s">
        <v>222</v>
      </c>
      <c r="AI120" s="428">
        <f>KarmicShadow(DOB,DATE(AI116, DOB_Month, DOB_Day),VALUE(OPV))</f>
        <v>1</v>
      </c>
      <c r="AJ120" s="428">
        <f>KarmicShadow(DOB,DATE(AJ116, DOB_Month, DOB_Day),VALUE(OPV))</f>
        <v>-1</v>
      </c>
      <c r="AK120" s="428">
        <f>KarmicShadow(DOB,DATE(AK116, DOB_Month, DOB_Day),VALUE(OPV))</f>
        <v>-1</v>
      </c>
      <c r="AL120" s="428">
        <f>KarmicShadow(DOB,DATE(AL116, DOB_Month, DOB_Day),VALUE(OPV))</f>
        <v>-1</v>
      </c>
      <c r="AM120" s="428">
        <f>KarmicShadow(DOB,DATE(AM116, DOB_Month, DOB_Day),VALUE(OPV))</f>
        <v>1</v>
      </c>
      <c r="AR120" s="178">
        <f ca="1">AL88</f>
        <v>44793</v>
      </c>
      <c r="AS120" t="s">
        <v>464</v>
      </c>
      <c r="AU120">
        <v>9</v>
      </c>
      <c r="AV120" t="s">
        <v>464</v>
      </c>
    </row>
    <row r="121" spans="2:48" x14ac:dyDescent="0.25">
      <c r="W121">
        <v>2</v>
      </c>
      <c r="X121">
        <v>2</v>
      </c>
      <c r="Z121">
        <f t="shared" ca="1" si="35"/>
        <v>2023</v>
      </c>
      <c r="AA121">
        <f t="shared" ca="1" si="36"/>
        <v>4</v>
      </c>
      <c r="AB121">
        <f t="shared" ca="1" si="37"/>
        <v>4</v>
      </c>
      <c r="AR121" s="511">
        <f ca="1">AR120+12</f>
        <v>44805</v>
      </c>
      <c r="AS121" t="s">
        <v>805</v>
      </c>
      <c r="AU121">
        <f>9/2</f>
        <v>4.5</v>
      </c>
      <c r="AV121" t="s">
        <v>807</v>
      </c>
    </row>
    <row r="122" spans="2:48" x14ac:dyDescent="0.25">
      <c r="W122">
        <v>3</v>
      </c>
      <c r="X122">
        <v>3</v>
      </c>
      <c r="Z122">
        <f t="shared" ca="1" si="35"/>
        <v>2024</v>
      </c>
      <c r="AA122">
        <f t="shared" ca="1" si="36"/>
        <v>5</v>
      </c>
      <c r="AB122">
        <f t="shared" ca="1" si="37"/>
        <v>5</v>
      </c>
      <c r="AH122" s="422" t="s">
        <v>742</v>
      </c>
      <c r="AI122" s="423">
        <f>YEAR(DOB)+AI123</f>
        <v>2009</v>
      </c>
      <c r="AJ122" s="423">
        <f>$AI$98+AJ123</f>
        <v>2010</v>
      </c>
      <c r="AK122" s="423">
        <f t="shared" ref="AK122" si="38">$AI$98+AK123</f>
        <v>2011</v>
      </c>
      <c r="AL122" s="423">
        <f t="shared" ref="AL122" si="39">$AI$98+AL123</f>
        <v>2012</v>
      </c>
      <c r="AM122" s="424">
        <f t="shared" ref="AM122" si="40">$AI$98+AM123</f>
        <v>2013</v>
      </c>
      <c r="AR122" s="178">
        <f ca="1">AM88</f>
        <v>44819</v>
      </c>
      <c r="AS122" t="s">
        <v>465</v>
      </c>
      <c r="AU122">
        <v>0</v>
      </c>
      <c r="AV122" t="s">
        <v>466</v>
      </c>
    </row>
    <row r="123" spans="2:48" ht="15.75" thickBot="1" x14ac:dyDescent="0.3">
      <c r="H123" t="s">
        <v>178</v>
      </c>
      <c r="W123">
        <v>4</v>
      </c>
      <c r="X123">
        <v>4</v>
      </c>
      <c r="Z123">
        <f t="shared" ca="1" si="35"/>
        <v>2025</v>
      </c>
      <c r="AA123">
        <f t="shared" ca="1" si="36"/>
        <v>6</v>
      </c>
      <c r="AB123">
        <f t="shared" ca="1" si="37"/>
        <v>4</v>
      </c>
      <c r="AH123" s="425" t="s">
        <v>743</v>
      </c>
      <c r="AI123" s="65">
        <v>20</v>
      </c>
      <c r="AJ123" s="65">
        <v>21</v>
      </c>
      <c r="AK123" s="65">
        <v>22</v>
      </c>
      <c r="AL123" s="65">
        <v>23</v>
      </c>
      <c r="AM123" s="426">
        <v>24</v>
      </c>
      <c r="AR123" s="178">
        <f ca="1">AK89</f>
        <v>44820</v>
      </c>
      <c r="AS123" t="s">
        <v>467</v>
      </c>
      <c r="AU123">
        <v>0</v>
      </c>
      <c r="AV123" t="s">
        <v>468</v>
      </c>
    </row>
    <row r="124" spans="2:48" x14ac:dyDescent="0.25">
      <c r="W124">
        <v>5</v>
      </c>
      <c r="X124">
        <v>5</v>
      </c>
      <c r="Z124">
        <f t="shared" ca="1" si="35"/>
        <v>2026</v>
      </c>
      <c r="AA124">
        <f t="shared" ca="1" si="36"/>
        <v>7</v>
      </c>
      <c r="AB124">
        <f t="shared" ca="1" si="37"/>
        <v>3</v>
      </c>
      <c r="AH124" s="775" t="s">
        <v>621</v>
      </c>
      <c r="AI124" s="60">
        <f>TP</f>
        <v>11</v>
      </c>
      <c r="AJ124" s="72">
        <f>TP_22</f>
        <v>9</v>
      </c>
      <c r="AK124" s="72">
        <f>TP_3</f>
        <v>20</v>
      </c>
      <c r="AL124" s="72">
        <f>TP_4</f>
        <v>12</v>
      </c>
      <c r="AM124" s="61">
        <f>TP_Main</f>
        <v>8</v>
      </c>
      <c r="AR124" s="511">
        <f ca="1">AR123+12</f>
        <v>44832</v>
      </c>
      <c r="AS124" t="s">
        <v>805</v>
      </c>
      <c r="AU124">
        <f>6/2</f>
        <v>3</v>
      </c>
      <c r="AV124" t="s">
        <v>806</v>
      </c>
    </row>
    <row r="125" spans="2:48" ht="15.75" thickBot="1" x14ac:dyDescent="0.3">
      <c r="W125">
        <v>6</v>
      </c>
      <c r="X125">
        <v>4</v>
      </c>
      <c r="Z125">
        <f t="shared" ca="1" si="35"/>
        <v>2027</v>
      </c>
      <c r="AA125">
        <f t="shared" ca="1" si="36"/>
        <v>8</v>
      </c>
      <c r="AB125">
        <f t="shared" ca="1" si="37"/>
        <v>2</v>
      </c>
      <c r="AH125" s="776"/>
      <c r="AI125" s="16">
        <f>OPV</f>
        <v>3</v>
      </c>
      <c r="AJ125" s="17">
        <f>KN_2</f>
        <v>1</v>
      </c>
      <c r="AK125" s="17">
        <f>KN_3</f>
        <v>2</v>
      </c>
      <c r="AL125" s="17">
        <f>KN_4</f>
        <v>2</v>
      </c>
      <c r="AM125" s="18">
        <f>KN_Main</f>
        <v>8</v>
      </c>
      <c r="AP125" s="83"/>
      <c r="AR125" s="178">
        <f ca="1">AL89</f>
        <v>44845</v>
      </c>
      <c r="AS125" t="s">
        <v>469</v>
      </c>
      <c r="AU125">
        <v>6</v>
      </c>
      <c r="AV125" t="s">
        <v>469</v>
      </c>
    </row>
    <row r="126" spans="2:48" x14ac:dyDescent="0.25">
      <c r="W126">
        <v>7</v>
      </c>
      <c r="X126">
        <v>3</v>
      </c>
      <c r="Z126">
        <f t="shared" ca="1" si="35"/>
        <v>2028</v>
      </c>
      <c r="AA126">
        <f t="shared" ca="1" si="36"/>
        <v>9</v>
      </c>
      <c r="AB126">
        <f t="shared" ca="1" si="37"/>
        <v>1</v>
      </c>
      <c r="AH126" s="427" t="s">
        <v>222</v>
      </c>
      <c r="AI126" s="428">
        <f>KarmicShadow(DOB,DATE(AI122, DOB_Month, DOB_Day),VALUE(OPV))</f>
        <v>1</v>
      </c>
      <c r="AJ126" s="428">
        <f>KarmicShadow(DOB,DATE(AJ122, DOB_Month, DOB_Day),VALUE(OPV))</f>
        <v>1</v>
      </c>
      <c r="AK126" s="428">
        <f>KarmicShadow(DOB,DATE(AK122, DOB_Month, DOB_Day),VALUE(OPV))</f>
        <v>-1</v>
      </c>
      <c r="AL126" s="428">
        <f>KarmicShadow(DOB,DATE(AL122, DOB_Month, DOB_Day),VALUE(OPV))</f>
        <v>-1</v>
      </c>
      <c r="AM126" s="428">
        <f>KarmicShadow(DOB,DATE(AM122, DOB_Month, DOB_Day),VALUE(OPV))</f>
        <v>-1</v>
      </c>
      <c r="AR126" s="511">
        <f ca="1">AR125+12</f>
        <v>44857</v>
      </c>
      <c r="AS126" t="s">
        <v>805</v>
      </c>
      <c r="AU126">
        <f>6/2</f>
        <v>3</v>
      </c>
      <c r="AV126" t="s">
        <v>807</v>
      </c>
    </row>
    <row r="127" spans="2:48" x14ac:dyDescent="0.25">
      <c r="I127" t="s">
        <v>179</v>
      </c>
      <c r="K127">
        <f>VALUE(CONCATENATE(DOB_D1,DOB_D2,DOB_M1,DOB_M2))</f>
        <v>2607</v>
      </c>
      <c r="L127">
        <f>DOB_Year</f>
        <v>1989</v>
      </c>
      <c r="M127">
        <f>K127*L127</f>
        <v>5185323</v>
      </c>
      <c r="N127" t="str">
        <f>M127&amp;REPT("0",7-LEN(M127))</f>
        <v>5185323</v>
      </c>
      <c r="O127">
        <f>SUM(J130:P130)/7</f>
        <v>3.8571428571428572</v>
      </c>
      <c r="W127">
        <v>8</v>
      </c>
      <c r="X127">
        <v>2</v>
      </c>
      <c r="Z127">
        <f t="shared" ca="1" si="35"/>
        <v>2029</v>
      </c>
      <c r="AA127">
        <f t="shared" ca="1" si="36"/>
        <v>1</v>
      </c>
      <c r="AB127">
        <f t="shared" ca="1" si="37"/>
        <v>1</v>
      </c>
      <c r="AR127" s="178">
        <f ca="1">AM89</f>
        <v>44871</v>
      </c>
      <c r="AS127" t="s">
        <v>470</v>
      </c>
      <c r="AU127">
        <v>0</v>
      </c>
      <c r="AV127" t="s">
        <v>471</v>
      </c>
    </row>
    <row r="128" spans="2:48" x14ac:dyDescent="0.25">
      <c r="W128">
        <v>9</v>
      </c>
      <c r="X128">
        <v>1</v>
      </c>
      <c r="Z128">
        <f t="shared" ca="1" si="35"/>
        <v>2030</v>
      </c>
      <c r="AA128">
        <f t="shared" ca="1" si="36"/>
        <v>2</v>
      </c>
      <c r="AB128">
        <f t="shared" ca="1" si="37"/>
        <v>2</v>
      </c>
      <c r="AH128" s="422" t="s">
        <v>742</v>
      </c>
      <c r="AI128" s="423">
        <f>YEAR(DOB)+AI129</f>
        <v>2014</v>
      </c>
      <c r="AJ128" s="423">
        <f>$AI$98+AJ129</f>
        <v>2015</v>
      </c>
      <c r="AK128" s="423">
        <f t="shared" ref="AK128" si="41">$AI$98+AK129</f>
        <v>2016</v>
      </c>
      <c r="AL128" s="423">
        <f t="shared" ref="AL128" si="42">$AI$98+AL129</f>
        <v>2017</v>
      </c>
      <c r="AM128" s="424">
        <f t="shared" ref="AM128" si="43">$AI$98+AM129</f>
        <v>2018</v>
      </c>
      <c r="AR128" s="178">
        <f ca="1">AK90</f>
        <v>44872</v>
      </c>
      <c r="AS128" t="s">
        <v>472</v>
      </c>
      <c r="AU128">
        <v>0</v>
      </c>
      <c r="AV128" t="s">
        <v>475</v>
      </c>
    </row>
    <row r="129" spans="8:48" ht="15.75" thickBot="1" x14ac:dyDescent="0.3">
      <c r="I129" s="82">
        <v>0</v>
      </c>
      <c r="J129" s="82">
        <v>10</v>
      </c>
      <c r="K129" s="82">
        <v>20</v>
      </c>
      <c r="L129" s="82">
        <v>30</v>
      </c>
      <c r="M129" s="82">
        <v>40</v>
      </c>
      <c r="N129" s="82">
        <v>50</v>
      </c>
      <c r="O129" s="82">
        <v>60</v>
      </c>
      <c r="P129" s="82">
        <v>70</v>
      </c>
      <c r="AH129" s="425" t="s">
        <v>743</v>
      </c>
      <c r="AI129" s="65">
        <v>25</v>
      </c>
      <c r="AJ129" s="65">
        <v>26</v>
      </c>
      <c r="AK129" s="65">
        <v>27</v>
      </c>
      <c r="AL129" s="65">
        <v>28</v>
      </c>
      <c r="AM129" s="426">
        <v>29</v>
      </c>
      <c r="AR129" s="511">
        <f ca="1">AR128+12</f>
        <v>44884</v>
      </c>
      <c r="AS129" t="s">
        <v>805</v>
      </c>
      <c r="AU129">
        <f>AU130/2</f>
        <v>-2.5</v>
      </c>
      <c r="AV129" t="s">
        <v>808</v>
      </c>
    </row>
    <row r="130" spans="8:48" x14ac:dyDescent="0.25">
      <c r="I130">
        <v>0</v>
      </c>
      <c r="J130">
        <f>VALUE(MID($N$127,1,1))</f>
        <v>5</v>
      </c>
      <c r="K130">
        <f>VALUE(MID($N$127,2,1))</f>
        <v>1</v>
      </c>
      <c r="L130">
        <f>VALUE(MID($N$127,3,1))</f>
        <v>8</v>
      </c>
      <c r="M130">
        <f>VALUE(MID($N$127,4,1))</f>
        <v>5</v>
      </c>
      <c r="N130">
        <f>VALUE(MID($N$127,5,1))</f>
        <v>3</v>
      </c>
      <c r="O130">
        <f>VALUE(MID($N$127,6,1))</f>
        <v>2</v>
      </c>
      <c r="P130">
        <f>VALUE(MID($N$127,7,1))</f>
        <v>3</v>
      </c>
      <c r="AH130" s="775" t="s">
        <v>182</v>
      </c>
      <c r="AI130" s="60">
        <f>OPV</f>
        <v>3</v>
      </c>
      <c r="AJ130" s="72">
        <f>KN_2</f>
        <v>1</v>
      </c>
      <c r="AK130" s="72">
        <f>KN_3</f>
        <v>2</v>
      </c>
      <c r="AL130" s="72">
        <f>KN_4</f>
        <v>2</v>
      </c>
      <c r="AM130" s="61">
        <f>KN_Main</f>
        <v>8</v>
      </c>
      <c r="AR130" s="178">
        <f ca="1">AL90</f>
        <v>44897</v>
      </c>
      <c r="AS130" t="s">
        <v>473</v>
      </c>
      <c r="AU130">
        <v>-5</v>
      </c>
      <c r="AV130" t="s">
        <v>473</v>
      </c>
    </row>
    <row r="131" spans="8:48" ht="15.75" thickBot="1" x14ac:dyDescent="0.3">
      <c r="I131">
        <v>0</v>
      </c>
      <c r="J131" s="82">
        <f>J129+J130</f>
        <v>15</v>
      </c>
      <c r="K131" s="82">
        <f t="shared" ref="K131:P131" si="44">K129+K130</f>
        <v>21</v>
      </c>
      <c r="L131" s="82">
        <f t="shared" si="44"/>
        <v>38</v>
      </c>
      <c r="M131" s="82">
        <f t="shared" si="44"/>
        <v>45</v>
      </c>
      <c r="N131" s="82">
        <f t="shared" si="44"/>
        <v>53</v>
      </c>
      <c r="O131" s="82">
        <f t="shared" si="44"/>
        <v>62</v>
      </c>
      <c r="P131" s="82">
        <f t="shared" si="44"/>
        <v>73</v>
      </c>
      <c r="AH131" s="776"/>
      <c r="AI131" s="16">
        <f>TP</f>
        <v>11</v>
      </c>
      <c r="AJ131" s="17">
        <f>TP_22</f>
        <v>9</v>
      </c>
      <c r="AK131" s="17">
        <f>TP_3</f>
        <v>20</v>
      </c>
      <c r="AL131" s="17">
        <f>TP_4</f>
        <v>12</v>
      </c>
      <c r="AM131" s="18">
        <f>TP_Main</f>
        <v>8</v>
      </c>
      <c r="AR131" s="511">
        <f ca="1">AR130+12</f>
        <v>44909</v>
      </c>
      <c r="AS131" t="s">
        <v>805</v>
      </c>
      <c r="AU131">
        <f>AU130/2</f>
        <v>-2.5</v>
      </c>
      <c r="AV131" t="s">
        <v>806</v>
      </c>
    </row>
    <row r="132" spans="8:48" x14ac:dyDescent="0.25">
      <c r="I132">
        <f t="shared" ref="I132:P132" si="45">$O$127</f>
        <v>3.8571428571428572</v>
      </c>
      <c r="J132">
        <f t="shared" si="45"/>
        <v>3.8571428571428572</v>
      </c>
      <c r="K132">
        <f t="shared" si="45"/>
        <v>3.8571428571428572</v>
      </c>
      <c r="L132">
        <f t="shared" si="45"/>
        <v>3.8571428571428572</v>
      </c>
      <c r="M132">
        <f t="shared" si="45"/>
        <v>3.8571428571428572</v>
      </c>
      <c r="N132">
        <f t="shared" si="45"/>
        <v>3.8571428571428572</v>
      </c>
      <c r="O132">
        <f t="shared" si="45"/>
        <v>3.8571428571428572</v>
      </c>
      <c r="P132">
        <f t="shared" si="45"/>
        <v>3.8571428571428572</v>
      </c>
      <c r="AH132" s="427" t="s">
        <v>222</v>
      </c>
      <c r="AI132" s="428">
        <f>KarmicShadow(DOB,DATE(AI128, DOB_Month, DOB_Day),VALUE(OPV))</f>
        <v>1</v>
      </c>
      <c r="AJ132" s="428">
        <f>KarmicShadow(DOB,DATE(AJ128, DOB_Month, DOB_Day),VALUE(OPV))</f>
        <v>1</v>
      </c>
      <c r="AK132" s="428">
        <f>KarmicShadow(DOB,DATE(AK128, DOB_Month, DOB_Day),VALUE(OPV))</f>
        <v>1</v>
      </c>
      <c r="AL132" s="428">
        <f>KarmicShadow(DOB,DATE(AL128, DOB_Month, DOB_Day),VALUE(OPV))</f>
        <v>-1</v>
      </c>
      <c r="AM132" s="428">
        <f>KarmicShadow(DOB,DATE(AM128, DOB_Month, DOB_Day),VALUE(OPV))</f>
        <v>-1</v>
      </c>
      <c r="AR132" s="178">
        <f ca="1">AM90</f>
        <v>44923</v>
      </c>
      <c r="AS132" t="s">
        <v>474</v>
      </c>
      <c r="AU132">
        <v>0</v>
      </c>
      <c r="AV132" t="s">
        <v>809</v>
      </c>
    </row>
    <row r="133" spans="8:48" x14ac:dyDescent="0.25">
      <c r="H133" t="s">
        <v>219</v>
      </c>
      <c r="I133" s="121">
        <v>0</v>
      </c>
      <c r="J133" s="121">
        <f>CalculateInt(I131,J131,I130,J130,J132)</f>
        <v>11.571428298950195</v>
      </c>
      <c r="K133" s="121">
        <f t="shared" ref="K133:P133" si="46">CalculateInt(J131,K131,J130,K130,K132)</f>
        <v>16.714284896850586</v>
      </c>
      <c r="L133" s="121">
        <f t="shared" si="46"/>
        <v>27.938776016235352</v>
      </c>
      <c r="M133" s="121">
        <f t="shared" si="46"/>
        <v>0</v>
      </c>
      <c r="N133" s="121">
        <f t="shared" si="46"/>
        <v>49.571426391601563</v>
      </c>
      <c r="O133" s="121">
        <f t="shared" si="46"/>
        <v>0</v>
      </c>
      <c r="P133" s="121">
        <f t="shared" si="46"/>
        <v>0</v>
      </c>
      <c r="AR133" s="178">
        <f ca="1">AK91</f>
        <v>44924</v>
      </c>
      <c r="AS133" t="s">
        <v>476</v>
      </c>
      <c r="AU133">
        <v>0</v>
      </c>
      <c r="AV133" t="s">
        <v>477</v>
      </c>
    </row>
    <row r="134" spans="8:48" x14ac:dyDescent="0.25">
      <c r="AH134" s="422" t="s">
        <v>742</v>
      </c>
      <c r="AI134" s="423">
        <f>YEAR(DOB)+AI135</f>
        <v>2019</v>
      </c>
      <c r="AJ134" s="423">
        <f>$AI$98+AJ135</f>
        <v>2020</v>
      </c>
      <c r="AK134" s="423">
        <f t="shared" ref="AK134" si="47">$AI$98+AK135</f>
        <v>2021</v>
      </c>
      <c r="AL134" s="423">
        <f t="shared" ref="AL134" si="48">$AI$98+AL135</f>
        <v>2022</v>
      </c>
      <c r="AM134" s="424">
        <f t="shared" ref="AM134" si="49">$AI$98+AM135</f>
        <v>2023</v>
      </c>
      <c r="AR134" s="511">
        <f ca="1">AR133+12</f>
        <v>44936</v>
      </c>
      <c r="AS134" t="s">
        <v>805</v>
      </c>
      <c r="AU134">
        <f>AU135/2</f>
        <v>4</v>
      </c>
      <c r="AV134" t="s">
        <v>806</v>
      </c>
    </row>
    <row r="135" spans="8:48" ht="15.75" thickBot="1" x14ac:dyDescent="0.3">
      <c r="AH135" s="425" t="s">
        <v>743</v>
      </c>
      <c r="AI135" s="65">
        <v>30</v>
      </c>
      <c r="AJ135" s="65">
        <v>31</v>
      </c>
      <c r="AK135" s="65">
        <v>32</v>
      </c>
      <c r="AL135" s="65">
        <v>33</v>
      </c>
      <c r="AM135" s="426">
        <v>34</v>
      </c>
      <c r="AR135" s="178">
        <f ca="1">AL91</f>
        <v>44949</v>
      </c>
      <c r="AS135" t="s">
        <v>478</v>
      </c>
      <c r="AU135">
        <v>8</v>
      </c>
      <c r="AV135" t="s">
        <v>478</v>
      </c>
    </row>
    <row r="136" spans="8:48" x14ac:dyDescent="0.25">
      <c r="I136" t="s">
        <v>180</v>
      </c>
      <c r="K136">
        <f>DOB_Day</f>
        <v>26</v>
      </c>
      <c r="L136">
        <f>DOB_Month</f>
        <v>7</v>
      </c>
      <c r="M136">
        <f>DOB_Year</f>
        <v>1989</v>
      </c>
      <c r="N136">
        <f>K136*L136*M136</f>
        <v>361998</v>
      </c>
      <c r="O136" t="str">
        <f>N136&amp;REPT("0",7-LEN(N136))</f>
        <v>3619980</v>
      </c>
      <c r="P136">
        <f>SUM(J139:P139)/7</f>
        <v>5.1428571428571432</v>
      </c>
      <c r="AH136" s="775" t="s">
        <v>621</v>
      </c>
      <c r="AI136" s="60">
        <f>TP</f>
        <v>11</v>
      </c>
      <c r="AJ136" s="72">
        <f>TP_22</f>
        <v>9</v>
      </c>
      <c r="AK136" s="72">
        <f>TP_3</f>
        <v>20</v>
      </c>
      <c r="AL136" s="72">
        <f>TP_4</f>
        <v>12</v>
      </c>
      <c r="AM136" s="61">
        <f>TP_Main</f>
        <v>8</v>
      </c>
      <c r="AR136" s="511">
        <f ca="1">AR135+12</f>
        <v>44961</v>
      </c>
      <c r="AS136" t="s">
        <v>805</v>
      </c>
      <c r="AU136">
        <f>AU135/2</f>
        <v>4</v>
      </c>
      <c r="AV136" t="s">
        <v>808</v>
      </c>
    </row>
    <row r="137" spans="8:48" ht="15.75" thickBot="1" x14ac:dyDescent="0.3">
      <c r="AH137" s="776"/>
      <c r="AI137" s="16">
        <f>OPV</f>
        <v>3</v>
      </c>
      <c r="AJ137" s="17">
        <f>KN_2</f>
        <v>1</v>
      </c>
      <c r="AK137" s="17">
        <f>KN_3</f>
        <v>2</v>
      </c>
      <c r="AL137" s="17">
        <f>KN_4</f>
        <v>2</v>
      </c>
      <c r="AM137" s="18">
        <f>KN_Main</f>
        <v>8</v>
      </c>
      <c r="AR137" s="178">
        <f ca="1">AM91</f>
        <v>44975</v>
      </c>
      <c r="AS137" t="s">
        <v>479</v>
      </c>
      <c r="AU137">
        <v>0</v>
      </c>
      <c r="AV137" t="s">
        <v>480</v>
      </c>
    </row>
    <row r="138" spans="8:48" x14ac:dyDescent="0.25">
      <c r="I138" s="82">
        <v>0</v>
      </c>
      <c r="J138" s="82">
        <v>10</v>
      </c>
      <c r="K138" s="82">
        <v>20</v>
      </c>
      <c r="L138" s="82">
        <v>30</v>
      </c>
      <c r="M138" s="82">
        <v>40</v>
      </c>
      <c r="N138" s="82">
        <v>50</v>
      </c>
      <c r="O138" s="82">
        <v>60</v>
      </c>
      <c r="P138" s="82">
        <v>70</v>
      </c>
      <c r="AH138" s="427" t="s">
        <v>222</v>
      </c>
      <c r="AI138" s="428">
        <f>KarmicShadow(DOB,DATE(AI134, DOB_Month, DOB_Day),VALUE(OPV))</f>
        <v>-1</v>
      </c>
      <c r="AJ138" s="428">
        <f>KarmicShadow(DOB,DATE(AJ134, DOB_Month, DOB_Day),VALUE(OPV))</f>
        <v>1</v>
      </c>
      <c r="AK138" s="428">
        <f>KarmicShadow(DOB,DATE(AK134, DOB_Month, DOB_Day),VALUE(OPV))</f>
        <v>1</v>
      </c>
      <c r="AL138" s="428">
        <f>KarmicShadow(DOB,DATE(AL134, DOB_Month, DOB_Day),VALUE(OPV))</f>
        <v>1</v>
      </c>
      <c r="AM138" s="428">
        <f>KarmicShadow(DOB,DATE(AM134, DOB_Month, DOB_Day),VALUE(OPV))</f>
        <v>-1</v>
      </c>
      <c r="AR138" s="178">
        <f ca="1">AK92</f>
        <v>44976</v>
      </c>
      <c r="AS138" t="s">
        <v>481</v>
      </c>
      <c r="AU138">
        <v>0</v>
      </c>
      <c r="AV138" t="s">
        <v>482</v>
      </c>
    </row>
    <row r="139" spans="8:48" x14ac:dyDescent="0.25">
      <c r="I139">
        <v>0</v>
      </c>
      <c r="J139">
        <f>VALUE(MID($O$136,1,1))</f>
        <v>3</v>
      </c>
      <c r="K139">
        <f>VALUE(MID($O$136,2,1))</f>
        <v>6</v>
      </c>
      <c r="L139">
        <f>VALUE(MID($O$136,3,1))</f>
        <v>1</v>
      </c>
      <c r="M139">
        <f>VALUE(MID($O$136,4,1))</f>
        <v>9</v>
      </c>
      <c r="N139">
        <f>VALUE(MID($O$136,5,1))</f>
        <v>9</v>
      </c>
      <c r="O139">
        <f>VALUE(MID($O$136,6,1))</f>
        <v>8</v>
      </c>
      <c r="P139">
        <f>VALUE(MID($O$136,7,1))</f>
        <v>0</v>
      </c>
      <c r="AR139" s="511">
        <f ca="1">AR138+12</f>
        <v>44988</v>
      </c>
      <c r="AS139" t="s">
        <v>805</v>
      </c>
      <c r="AU139">
        <f>AU140/2</f>
        <v>5</v>
      </c>
      <c r="AV139" t="s">
        <v>806</v>
      </c>
    </row>
    <row r="140" spans="8:48" x14ac:dyDescent="0.25">
      <c r="I140">
        <v>0</v>
      </c>
      <c r="J140" s="82">
        <f>J138+J139</f>
        <v>13</v>
      </c>
      <c r="K140" s="82">
        <f t="shared" ref="K140:P140" si="50">K138+K139</f>
        <v>26</v>
      </c>
      <c r="L140" s="82">
        <f t="shared" si="50"/>
        <v>31</v>
      </c>
      <c r="M140" s="82">
        <f t="shared" si="50"/>
        <v>49</v>
      </c>
      <c r="N140" s="82">
        <f t="shared" si="50"/>
        <v>59</v>
      </c>
      <c r="O140" s="82">
        <f t="shared" si="50"/>
        <v>68</v>
      </c>
      <c r="P140" s="82">
        <f t="shared" si="50"/>
        <v>70</v>
      </c>
      <c r="AH140" s="422" t="s">
        <v>742</v>
      </c>
      <c r="AI140" s="423">
        <f>YEAR(DOB)+AI141</f>
        <v>2024</v>
      </c>
      <c r="AJ140" s="423">
        <f>$AI$98+AJ141</f>
        <v>2025</v>
      </c>
      <c r="AK140" s="423">
        <f t="shared" ref="AK140" si="51">$AI$98+AK141</f>
        <v>2026</v>
      </c>
      <c r="AL140" s="423">
        <f t="shared" ref="AL140" si="52">$AI$98+AL141</f>
        <v>2027</v>
      </c>
      <c r="AM140" s="424">
        <f t="shared" ref="AM140" si="53">$AI$98+AM141</f>
        <v>2028</v>
      </c>
      <c r="AR140" s="178">
        <f ca="1">AL92</f>
        <v>45001</v>
      </c>
      <c r="AS140" t="s">
        <v>483</v>
      </c>
      <c r="AU140">
        <v>10</v>
      </c>
      <c r="AV140" t="s">
        <v>483</v>
      </c>
    </row>
    <row r="141" spans="8:48" ht="15.75" thickBot="1" x14ac:dyDescent="0.3">
      <c r="I141">
        <f t="shared" ref="I141:P141" si="54">$P$136</f>
        <v>5.1428571428571432</v>
      </c>
      <c r="J141">
        <f t="shared" si="54"/>
        <v>5.1428571428571432</v>
      </c>
      <c r="K141">
        <f t="shared" si="54"/>
        <v>5.1428571428571432</v>
      </c>
      <c r="L141">
        <f t="shared" si="54"/>
        <v>5.1428571428571432</v>
      </c>
      <c r="M141">
        <f t="shared" si="54"/>
        <v>5.1428571428571432</v>
      </c>
      <c r="N141">
        <f t="shared" si="54"/>
        <v>5.1428571428571432</v>
      </c>
      <c r="O141">
        <f t="shared" si="54"/>
        <v>5.1428571428571432</v>
      </c>
      <c r="P141">
        <f t="shared" si="54"/>
        <v>5.1428571428571432</v>
      </c>
      <c r="AH141" s="425" t="s">
        <v>743</v>
      </c>
      <c r="AI141" s="65">
        <v>35</v>
      </c>
      <c r="AJ141" s="65">
        <v>36</v>
      </c>
      <c r="AK141" s="65">
        <v>37</v>
      </c>
      <c r="AL141" s="65">
        <v>38</v>
      </c>
      <c r="AM141" s="426">
        <v>39</v>
      </c>
      <c r="AR141" s="511">
        <f ca="1">AR140+12</f>
        <v>45013</v>
      </c>
      <c r="AS141" t="s">
        <v>805</v>
      </c>
      <c r="AU141">
        <f>AU140/2</f>
        <v>5</v>
      </c>
      <c r="AV141" t="s">
        <v>808</v>
      </c>
    </row>
    <row r="142" spans="8:48" x14ac:dyDescent="0.25">
      <c r="H142" t="s">
        <v>219</v>
      </c>
      <c r="I142" s="121">
        <v>0</v>
      </c>
      <c r="J142" s="121">
        <f>CalculateInt(I140,J140,I139,J139,J141)</f>
        <v>0</v>
      </c>
      <c r="K142" s="121">
        <f t="shared" ref="K142:P142" si="55">CalculateInt(J140,K140,J139,K139,K141)</f>
        <v>22.285713195800781</v>
      </c>
      <c r="L142" s="121">
        <f t="shared" si="55"/>
        <v>26.857143402099609</v>
      </c>
      <c r="M142" s="121">
        <f t="shared" si="55"/>
        <v>40.321430206298828</v>
      </c>
      <c r="N142" s="121">
        <f t="shared" si="55"/>
        <v>0</v>
      </c>
      <c r="O142" s="121">
        <f t="shared" si="55"/>
        <v>0</v>
      </c>
      <c r="P142" s="121">
        <f t="shared" si="55"/>
        <v>68.714286804199219</v>
      </c>
      <c r="AH142" s="775" t="s">
        <v>182</v>
      </c>
      <c r="AI142" s="60">
        <f>OPV</f>
        <v>3</v>
      </c>
      <c r="AJ142" s="72">
        <f>KN_2</f>
        <v>1</v>
      </c>
      <c r="AK142" s="72">
        <f>KN_3</f>
        <v>2</v>
      </c>
      <c r="AL142" s="72">
        <f>KN_4</f>
        <v>2</v>
      </c>
      <c r="AM142" s="61">
        <f>KN_Main</f>
        <v>8</v>
      </c>
      <c r="AR142" s="178">
        <f ca="1">AM92</f>
        <v>45027</v>
      </c>
      <c r="AS142" t="s">
        <v>484</v>
      </c>
      <c r="AU142">
        <v>0</v>
      </c>
      <c r="AV142" t="s">
        <v>485</v>
      </c>
    </row>
    <row r="143" spans="8:48" ht="15.75" thickBot="1" x14ac:dyDescent="0.3">
      <c r="AH143" s="776"/>
      <c r="AI143" s="16">
        <f>TP</f>
        <v>11</v>
      </c>
      <c r="AJ143" s="17">
        <f>TP_22</f>
        <v>9</v>
      </c>
      <c r="AK143" s="17">
        <f>TP_3</f>
        <v>20</v>
      </c>
      <c r="AL143" s="17">
        <f>TP_4</f>
        <v>12</v>
      </c>
      <c r="AM143" s="18">
        <f>TP_Main</f>
        <v>8</v>
      </c>
      <c r="AR143" s="178">
        <f ca="1">AK93</f>
        <v>45028</v>
      </c>
      <c r="AS143" t="s">
        <v>486</v>
      </c>
      <c r="AU143">
        <v>0</v>
      </c>
      <c r="AV143" t="s">
        <v>487</v>
      </c>
    </row>
    <row r="144" spans="8:48" x14ac:dyDescent="0.25">
      <c r="AH144" s="427" t="s">
        <v>222</v>
      </c>
      <c r="AI144" s="428">
        <f>KarmicShadow(DOB,DATE(AI140, DOB_Month, DOB_Day),VALUE(OPV))</f>
        <v>-1</v>
      </c>
      <c r="AJ144" s="428">
        <f>KarmicShadow(DOB,DATE(AJ140, DOB_Month, DOB_Day),VALUE(OPV))</f>
        <v>-1</v>
      </c>
      <c r="AK144" s="428">
        <f>KarmicShadow(DOB,DATE(AK140, DOB_Month, DOB_Day),VALUE(OPV))</f>
        <v>1</v>
      </c>
      <c r="AL144" s="428">
        <f>KarmicShadow(DOB,DATE(AL140, DOB_Month, DOB_Day),VALUE(OPV))</f>
        <v>1</v>
      </c>
      <c r="AM144" s="428">
        <f>KarmicShadow(DOB,DATE(AM140, DOB_Month, DOB_Day),VALUE(OPV))</f>
        <v>1</v>
      </c>
      <c r="AR144" s="511">
        <f ca="1">AR143+12</f>
        <v>45040</v>
      </c>
      <c r="AS144" t="s">
        <v>805</v>
      </c>
      <c r="AU144">
        <f>AU145/2</f>
        <v>3.5</v>
      </c>
      <c r="AV144" t="s">
        <v>806</v>
      </c>
    </row>
    <row r="145" spans="34:48" x14ac:dyDescent="0.25">
      <c r="AR145" s="178">
        <f ca="1">AL93</f>
        <v>45053</v>
      </c>
      <c r="AS145" t="s">
        <v>488</v>
      </c>
      <c r="AU145">
        <v>7</v>
      </c>
      <c r="AV145" t="s">
        <v>488</v>
      </c>
    </row>
    <row r="146" spans="34:48" x14ac:dyDescent="0.25">
      <c r="AH146" s="422" t="s">
        <v>742</v>
      </c>
      <c r="AI146" s="423">
        <f>YEAR(DOB)+AI147</f>
        <v>2029</v>
      </c>
      <c r="AJ146" s="423">
        <f>$AI$98+AJ147</f>
        <v>2030</v>
      </c>
      <c r="AK146" s="423">
        <f t="shared" ref="AK146" si="56">$AI$98+AK147</f>
        <v>2031</v>
      </c>
      <c r="AL146" s="423">
        <f t="shared" ref="AL146" si="57">$AI$98+AL147</f>
        <v>2032</v>
      </c>
      <c r="AM146" s="424">
        <f t="shared" ref="AM146" si="58">$AI$98+AM147</f>
        <v>2033</v>
      </c>
      <c r="AR146" s="511">
        <f ca="1">AR145+12</f>
        <v>45065</v>
      </c>
      <c r="AS146" t="s">
        <v>805</v>
      </c>
      <c r="AU146">
        <f>AU145/2</f>
        <v>3.5</v>
      </c>
      <c r="AV146" t="s">
        <v>808</v>
      </c>
    </row>
    <row r="147" spans="34:48" ht="15.75" thickBot="1" x14ac:dyDescent="0.3">
      <c r="AH147" s="425" t="s">
        <v>743</v>
      </c>
      <c r="AI147" s="65">
        <v>40</v>
      </c>
      <c r="AJ147" s="65">
        <v>41</v>
      </c>
      <c r="AK147" s="65">
        <v>42</v>
      </c>
      <c r="AL147" s="65">
        <v>43</v>
      </c>
      <c r="AM147" s="426">
        <v>44</v>
      </c>
      <c r="AR147" s="178">
        <f ca="1">AM93</f>
        <v>45080</v>
      </c>
      <c r="AS147" t="s">
        <v>489</v>
      </c>
      <c r="AU147">
        <v>0</v>
      </c>
      <c r="AV147" t="s">
        <v>490</v>
      </c>
    </row>
    <row r="148" spans="34:48" x14ac:dyDescent="0.25">
      <c r="AH148" s="775" t="s">
        <v>621</v>
      </c>
      <c r="AI148" s="60">
        <f>TP</f>
        <v>11</v>
      </c>
      <c r="AJ148" s="72">
        <f>TP_22</f>
        <v>9</v>
      </c>
      <c r="AK148" s="72">
        <f>TP_3</f>
        <v>20</v>
      </c>
      <c r="AL148" s="72">
        <f>TP_4</f>
        <v>12</v>
      </c>
      <c r="AM148" s="61">
        <f>TP_Main</f>
        <v>8</v>
      </c>
      <c r="AR148" s="178">
        <f ca="1">AK94</f>
        <v>45081</v>
      </c>
      <c r="AS148" t="s">
        <v>491</v>
      </c>
      <c r="AU148">
        <v>0</v>
      </c>
      <c r="AV148" t="s">
        <v>494</v>
      </c>
    </row>
    <row r="149" spans="34:48" ht="15.75" thickBot="1" x14ac:dyDescent="0.3">
      <c r="AH149" s="776"/>
      <c r="AI149" s="16">
        <f>OPV</f>
        <v>3</v>
      </c>
      <c r="AJ149" s="17">
        <f>KN_2</f>
        <v>1</v>
      </c>
      <c r="AK149" s="17">
        <f>KN_3</f>
        <v>2</v>
      </c>
      <c r="AL149" s="17">
        <f>KN_4</f>
        <v>2</v>
      </c>
      <c r="AM149" s="18">
        <f>KN_Main</f>
        <v>8</v>
      </c>
      <c r="AR149" s="511">
        <f ca="1">AR148+12</f>
        <v>45093</v>
      </c>
      <c r="AS149" t="s">
        <v>805</v>
      </c>
      <c r="AU149">
        <f>AU150/2</f>
        <v>-2</v>
      </c>
      <c r="AV149" t="s">
        <v>808</v>
      </c>
    </row>
    <row r="150" spans="34:48" x14ac:dyDescent="0.25">
      <c r="AH150" s="427" t="s">
        <v>222</v>
      </c>
      <c r="AI150" s="428">
        <f>KarmicShadow(DOB,DATE(AI146, DOB_Month, DOB_Day),VALUE(OPV))</f>
        <v>-1</v>
      </c>
      <c r="AJ150" s="428">
        <f>KarmicShadow(DOB,DATE(AJ146, DOB_Month, DOB_Day),VALUE(OPV))</f>
        <v>-1</v>
      </c>
      <c r="AK150" s="428">
        <f>KarmicShadow(DOB,DATE(AK146, DOB_Month, DOB_Day),VALUE(OPV))</f>
        <v>-1</v>
      </c>
      <c r="AL150" s="428">
        <f>KarmicShadow(DOB,DATE(AL146, DOB_Month, DOB_Day),VALUE(OPV))</f>
        <v>1</v>
      </c>
      <c r="AM150" s="428">
        <f>KarmicShadow(DOB,DATE(AM146, DOB_Month, DOB_Day),VALUE(OPV))</f>
        <v>1</v>
      </c>
      <c r="AR150" s="178">
        <f ca="1">AL94</f>
        <v>45106</v>
      </c>
      <c r="AS150" t="s">
        <v>492</v>
      </c>
      <c r="AU150">
        <v>-4</v>
      </c>
      <c r="AV150" t="s">
        <v>492</v>
      </c>
    </row>
    <row r="151" spans="34:48" x14ac:dyDescent="0.25">
      <c r="AR151" s="511">
        <f ca="1">AR150+12</f>
        <v>45118</v>
      </c>
      <c r="AS151" t="s">
        <v>805</v>
      </c>
      <c r="AU151">
        <f>AU150/2</f>
        <v>-2</v>
      </c>
      <c r="AV151" t="s">
        <v>806</v>
      </c>
    </row>
    <row r="152" spans="34:48" x14ac:dyDescent="0.25">
      <c r="AH152" s="422" t="s">
        <v>742</v>
      </c>
      <c r="AI152" s="423">
        <f>YEAR(DOB)+AI153</f>
        <v>2034</v>
      </c>
      <c r="AJ152" s="423">
        <f>$AI$98+AJ153</f>
        <v>2035</v>
      </c>
      <c r="AK152" s="423">
        <f t="shared" ref="AK152" si="59">$AI$98+AK153</f>
        <v>2036</v>
      </c>
      <c r="AL152" s="423">
        <f t="shared" ref="AL152" si="60">$AI$98+AL153</f>
        <v>2037</v>
      </c>
      <c r="AM152" s="424">
        <f t="shared" ref="AM152" si="61">$AI$98+AM153</f>
        <v>2038</v>
      </c>
      <c r="AR152" s="178">
        <f ca="1">AM94</f>
        <v>45132</v>
      </c>
      <c r="AS152" t="s">
        <v>493</v>
      </c>
      <c r="AU152">
        <v>0</v>
      </c>
      <c r="AV152" t="s">
        <v>810</v>
      </c>
    </row>
    <row r="153" spans="34:48" ht="15.75" thickBot="1" x14ac:dyDescent="0.3">
      <c r="AH153" s="425" t="s">
        <v>743</v>
      </c>
      <c r="AI153" s="65">
        <v>45</v>
      </c>
      <c r="AJ153" s="65">
        <v>46</v>
      </c>
      <c r="AK153" s="65">
        <v>47</v>
      </c>
      <c r="AL153" s="65">
        <v>48</v>
      </c>
      <c r="AM153" s="426">
        <v>49</v>
      </c>
    </row>
    <row r="154" spans="34:48" x14ac:dyDescent="0.25">
      <c r="AH154" s="775" t="s">
        <v>182</v>
      </c>
      <c r="AI154" s="60">
        <f>OPV</f>
        <v>3</v>
      </c>
      <c r="AJ154" s="72">
        <f>KN_2</f>
        <v>1</v>
      </c>
      <c r="AK154" s="72">
        <f>KN_3</f>
        <v>2</v>
      </c>
      <c r="AL154" s="72">
        <f>KN_4</f>
        <v>2</v>
      </c>
      <c r="AM154" s="61">
        <f>KN_Main</f>
        <v>8</v>
      </c>
    </row>
    <row r="155" spans="34:48" ht="15.75" thickBot="1" x14ac:dyDescent="0.3">
      <c r="AH155" s="776"/>
      <c r="AI155" s="16">
        <f>TP</f>
        <v>11</v>
      </c>
      <c r="AJ155" s="17">
        <f>TP_22</f>
        <v>9</v>
      </c>
      <c r="AK155" s="17">
        <f>TP_3</f>
        <v>20</v>
      </c>
      <c r="AL155" s="17">
        <f>TP_4</f>
        <v>12</v>
      </c>
      <c r="AM155" s="18">
        <f>TP_Main</f>
        <v>8</v>
      </c>
    </row>
    <row r="156" spans="34:48" x14ac:dyDescent="0.25">
      <c r="AH156" s="427" t="s">
        <v>222</v>
      </c>
      <c r="AI156" s="428">
        <f>KarmicShadow(DOB,DATE(AI152, DOB_Month, DOB_Day),VALUE(OPV))</f>
        <v>1</v>
      </c>
      <c r="AJ156" s="428">
        <f>KarmicShadow(DOB,DATE(AJ152, DOB_Month, DOB_Day),VALUE(OPV))</f>
        <v>-1</v>
      </c>
      <c r="AK156" s="428">
        <f>KarmicShadow(DOB,DATE(AK152, DOB_Month, DOB_Day),VALUE(OPV))</f>
        <v>-1</v>
      </c>
      <c r="AL156" s="428">
        <f>KarmicShadow(DOB,DATE(AL152, DOB_Month, DOB_Day),VALUE(OPV))</f>
        <v>-1</v>
      </c>
      <c r="AM156" s="428">
        <f>KarmicShadow(DOB,DATE(AM152, DOB_Month, DOB_Day),VALUE(OPV))</f>
        <v>1</v>
      </c>
    </row>
    <row r="158" spans="34:48" x14ac:dyDescent="0.25">
      <c r="AH158" s="422" t="s">
        <v>742</v>
      </c>
      <c r="AI158" s="423">
        <f>YEAR(DOB)+AI159</f>
        <v>2039</v>
      </c>
      <c r="AJ158" s="423">
        <f>$AI$98+AJ159</f>
        <v>2040</v>
      </c>
      <c r="AK158" s="423">
        <f t="shared" ref="AK158" si="62">$AI$98+AK159</f>
        <v>2041</v>
      </c>
      <c r="AL158" s="423">
        <f t="shared" ref="AL158" si="63">$AI$98+AL159</f>
        <v>2042</v>
      </c>
      <c r="AM158" s="424">
        <f t="shared" ref="AM158" si="64">$AI$98+AM159</f>
        <v>2043</v>
      </c>
    </row>
    <row r="159" spans="34:48" ht="15.75" thickBot="1" x14ac:dyDescent="0.3">
      <c r="AH159" s="425" t="s">
        <v>743</v>
      </c>
      <c r="AI159" s="65">
        <v>50</v>
      </c>
      <c r="AJ159" s="65">
        <v>51</v>
      </c>
      <c r="AK159" s="65">
        <v>52</v>
      </c>
      <c r="AL159" s="65">
        <v>53</v>
      </c>
      <c r="AM159" s="426">
        <v>54</v>
      </c>
    </row>
    <row r="160" spans="34:48" x14ac:dyDescent="0.25">
      <c r="AH160" s="775" t="s">
        <v>621</v>
      </c>
      <c r="AI160" s="60">
        <f>TP</f>
        <v>11</v>
      </c>
      <c r="AJ160" s="72">
        <f>TP_22</f>
        <v>9</v>
      </c>
      <c r="AK160" s="72">
        <f>TP_3</f>
        <v>20</v>
      </c>
      <c r="AL160" s="72">
        <f>TP_4</f>
        <v>12</v>
      </c>
      <c r="AM160" s="61">
        <f>TP_Main</f>
        <v>8</v>
      </c>
    </row>
    <row r="161" spans="8:39" ht="15.75" thickBot="1" x14ac:dyDescent="0.3">
      <c r="AH161" s="776"/>
      <c r="AI161" s="16">
        <f>OPV</f>
        <v>3</v>
      </c>
      <c r="AJ161" s="17">
        <f>KN_2</f>
        <v>1</v>
      </c>
      <c r="AK161" s="17">
        <f>KN_3</f>
        <v>2</v>
      </c>
      <c r="AL161" s="17">
        <f>KN_4</f>
        <v>2</v>
      </c>
      <c r="AM161" s="18">
        <f>KN_Main</f>
        <v>8</v>
      </c>
    </row>
    <row r="162" spans="8:39" x14ac:dyDescent="0.25">
      <c r="AH162" s="427" t="s">
        <v>222</v>
      </c>
      <c r="AI162" s="428">
        <f>KarmicShadow(DOB,DATE(AI158, DOB_Month, DOB_Day),VALUE(OPV))</f>
        <v>1</v>
      </c>
      <c r="AJ162" s="428">
        <f>KarmicShadow(DOB,DATE(AJ158, DOB_Month, DOB_Day),VALUE(OPV))</f>
        <v>1</v>
      </c>
      <c r="AK162" s="428">
        <f>KarmicShadow(DOB,DATE(AK158, DOB_Month, DOB_Day),VALUE(OPV))</f>
        <v>-1</v>
      </c>
      <c r="AL162" s="428">
        <f>KarmicShadow(DOB,DATE(AL158, DOB_Month, DOB_Day),VALUE(OPV))</f>
        <v>-1</v>
      </c>
      <c r="AM162" s="428">
        <f>KarmicShadow(DOB,DATE(AM158, DOB_Month, DOB_Day),VALUE(OPV))</f>
        <v>-1</v>
      </c>
    </row>
    <row r="164" spans="8:39" x14ac:dyDescent="0.25">
      <c r="H164" t="s">
        <v>181</v>
      </c>
      <c r="I164" t="s">
        <v>3</v>
      </c>
      <c r="J164" t="s">
        <v>182</v>
      </c>
      <c r="K164" t="s">
        <v>11</v>
      </c>
      <c r="L164" t="s">
        <v>183</v>
      </c>
      <c r="M164" t="s">
        <v>12</v>
      </c>
      <c r="AH164" s="422" t="s">
        <v>742</v>
      </c>
      <c r="AI164" s="423">
        <f>YEAR(DOB)+AI165</f>
        <v>2044</v>
      </c>
      <c r="AJ164" s="423">
        <f>$AI$98+AJ165</f>
        <v>2045</v>
      </c>
      <c r="AK164" s="423">
        <f t="shared" ref="AK164" si="65">$AI$98+AK165</f>
        <v>2046</v>
      </c>
      <c r="AL164" s="423">
        <f t="shared" ref="AL164" si="66">$AI$98+AL165</f>
        <v>2047</v>
      </c>
      <c r="AM164" s="424">
        <f t="shared" ref="AM164" si="67">$AI$98+AM165</f>
        <v>2048</v>
      </c>
    </row>
    <row r="165" spans="8:39" ht="15.75" thickBot="1" x14ac:dyDescent="0.3">
      <c r="I165" s="24">
        <f>DOB_Day</f>
        <v>26</v>
      </c>
      <c r="J165" s="24"/>
      <c r="K165" s="24">
        <f>DOB_Month</f>
        <v>7</v>
      </c>
      <c r="L165" s="24"/>
      <c r="M165" s="24">
        <f>DOB_Year</f>
        <v>1989</v>
      </c>
      <c r="N165">
        <f>(I165+K165)*M165</f>
        <v>65637</v>
      </c>
      <c r="O165" t="str">
        <f>N165&amp;REPT("0",7-LEN(N165))</f>
        <v>6563700</v>
      </c>
      <c r="P165">
        <f>SUM(J171:P171)/7</f>
        <v>3.8571428571428572</v>
      </c>
      <c r="AH165" s="425" t="s">
        <v>743</v>
      </c>
      <c r="AI165" s="65">
        <v>55</v>
      </c>
      <c r="AJ165" s="65">
        <v>56</v>
      </c>
      <c r="AK165" s="65">
        <v>57</v>
      </c>
      <c r="AL165" s="65">
        <v>58</v>
      </c>
      <c r="AM165" s="426">
        <v>59</v>
      </c>
    </row>
    <row r="166" spans="8:39" x14ac:dyDescent="0.25">
      <c r="AH166" s="775" t="s">
        <v>182</v>
      </c>
      <c r="AI166" s="60">
        <f>OPV</f>
        <v>3</v>
      </c>
      <c r="AJ166" s="72">
        <f>KN_2</f>
        <v>1</v>
      </c>
      <c r="AK166" s="72">
        <f>KN_3</f>
        <v>2</v>
      </c>
      <c r="AL166" s="72">
        <f>KN_4</f>
        <v>2</v>
      </c>
      <c r="AM166" s="61">
        <f>KN_Main</f>
        <v>8</v>
      </c>
    </row>
    <row r="167" spans="8:39" ht="15.75" thickBot="1" x14ac:dyDescent="0.3">
      <c r="H167" t="s">
        <v>184</v>
      </c>
      <c r="I167" t="s">
        <v>185</v>
      </c>
      <c r="J167" t="s">
        <v>186</v>
      </c>
      <c r="K167" t="s">
        <v>12</v>
      </c>
      <c r="AH167" s="776"/>
      <c r="AI167" s="16">
        <f>TP</f>
        <v>11</v>
      </c>
      <c r="AJ167" s="17">
        <f>TP_22</f>
        <v>9</v>
      </c>
      <c r="AK167" s="17">
        <f>TP_3</f>
        <v>20</v>
      </c>
      <c r="AL167" s="17">
        <f>TP_4</f>
        <v>12</v>
      </c>
      <c r="AM167" s="18">
        <f>TP_Main</f>
        <v>8</v>
      </c>
    </row>
    <row r="168" spans="8:39" x14ac:dyDescent="0.25">
      <c r="I168" s="24" t="str">
        <f>CONCATENATE(DOB_Day,DOB_M1,DOB_M2)</f>
        <v>2607</v>
      </c>
      <c r="J168" s="24"/>
      <c r="K168" s="24">
        <f>DOB_Year</f>
        <v>1989</v>
      </c>
      <c r="M168" s="24"/>
      <c r="N168" s="24">
        <f>VALUE(I168)*K168</f>
        <v>5185323</v>
      </c>
      <c r="O168" t="str">
        <f t="shared" ref="O168" si="68">N168&amp;REPT("0",7-LEN(N168))</f>
        <v>5185323</v>
      </c>
      <c r="P168">
        <f>SUM(J177:P177)/7</f>
        <v>3.8571428571428572</v>
      </c>
      <c r="AH168" s="427" t="s">
        <v>222</v>
      </c>
      <c r="AI168" s="428">
        <f>KarmicShadow(DOB,DATE(AI164, DOB_Month, DOB_Day),VALUE(OPV))</f>
        <v>1</v>
      </c>
      <c r="AJ168" s="428">
        <f>KarmicShadow(DOB,DATE(AJ164, DOB_Month, DOB_Day),VALUE(OPV))</f>
        <v>1</v>
      </c>
      <c r="AK168" s="428">
        <f>KarmicShadow(DOB,DATE(AK164, DOB_Month, DOB_Day),VALUE(OPV))</f>
        <v>1</v>
      </c>
      <c r="AL168" s="428">
        <f>KarmicShadow(DOB,DATE(AL164, DOB_Month, DOB_Day),VALUE(OPV))</f>
        <v>-1</v>
      </c>
      <c r="AM168" s="428">
        <f>KarmicShadow(DOB,DATE(AM164, DOB_Month, DOB_Day),VALUE(OPV))</f>
        <v>-1</v>
      </c>
    </row>
    <row r="170" spans="8:39" x14ac:dyDescent="0.25">
      <c r="H170" t="s">
        <v>181</v>
      </c>
      <c r="I170" s="24">
        <v>0</v>
      </c>
      <c r="J170" s="24">
        <v>12</v>
      </c>
      <c r="K170" s="24">
        <v>24</v>
      </c>
      <c r="L170" s="24">
        <v>36</v>
      </c>
      <c r="M170" s="24">
        <v>48</v>
      </c>
      <c r="N170" s="24">
        <v>60</v>
      </c>
      <c r="O170" s="24">
        <v>72</v>
      </c>
      <c r="P170" s="24">
        <v>84</v>
      </c>
      <c r="AH170" s="422" t="s">
        <v>742</v>
      </c>
      <c r="AI170" s="423">
        <f>YEAR(DOB)+AI171</f>
        <v>2049</v>
      </c>
      <c r="AJ170" s="423">
        <f>$AI$98+AJ171</f>
        <v>2050</v>
      </c>
      <c r="AK170" s="423">
        <f t="shared" ref="AK170" si="69">$AI$98+AK171</f>
        <v>2051</v>
      </c>
      <c r="AL170" s="423">
        <f t="shared" ref="AL170" si="70">$AI$98+AL171</f>
        <v>2052</v>
      </c>
      <c r="AM170" s="424">
        <f t="shared" ref="AM170" si="71">$AI$98+AM171</f>
        <v>2053</v>
      </c>
    </row>
    <row r="171" spans="8:39" ht="15.75" thickBot="1" x14ac:dyDescent="0.3">
      <c r="I171">
        <v>0</v>
      </c>
      <c r="J171">
        <f>VALUE(MID($O$165,1,1))</f>
        <v>6</v>
      </c>
      <c r="K171">
        <f>VALUE(MID($O$165,2,1))</f>
        <v>5</v>
      </c>
      <c r="L171">
        <f>VALUE(MID($O$165,3,1))</f>
        <v>6</v>
      </c>
      <c r="M171">
        <f>VALUE(MID($O$165,4,1))</f>
        <v>3</v>
      </c>
      <c r="N171">
        <f>VALUE(MID($O$165,5,1))</f>
        <v>7</v>
      </c>
      <c r="O171">
        <f>VALUE(MID($O$165,6,1))</f>
        <v>0</v>
      </c>
      <c r="P171">
        <f>VALUE(MID($O$165,7,1))</f>
        <v>0</v>
      </c>
      <c r="AH171" s="425" t="s">
        <v>743</v>
      </c>
      <c r="AI171" s="65">
        <v>60</v>
      </c>
      <c r="AJ171" s="65">
        <v>61</v>
      </c>
      <c r="AK171" s="65">
        <v>62</v>
      </c>
      <c r="AL171" s="65">
        <v>63</v>
      </c>
      <c r="AM171" s="426">
        <v>64</v>
      </c>
    </row>
    <row r="172" spans="8:39" x14ac:dyDescent="0.25">
      <c r="I172">
        <f>I170+I171</f>
        <v>0</v>
      </c>
      <c r="J172">
        <f t="shared" ref="J172:P172" si="72">J170+J171</f>
        <v>18</v>
      </c>
      <c r="K172">
        <f t="shared" si="72"/>
        <v>29</v>
      </c>
      <c r="L172">
        <f t="shared" si="72"/>
        <v>42</v>
      </c>
      <c r="M172">
        <f t="shared" si="72"/>
        <v>51</v>
      </c>
      <c r="N172">
        <f t="shared" si="72"/>
        <v>67</v>
      </c>
      <c r="O172">
        <f t="shared" si="72"/>
        <v>72</v>
      </c>
      <c r="P172">
        <f t="shared" si="72"/>
        <v>84</v>
      </c>
      <c r="AH172" s="775" t="s">
        <v>621</v>
      </c>
      <c r="AI172" s="60">
        <f>TP</f>
        <v>11</v>
      </c>
      <c r="AJ172" s="72">
        <f>TP_22</f>
        <v>9</v>
      </c>
      <c r="AK172" s="72">
        <f>TP_3</f>
        <v>20</v>
      </c>
      <c r="AL172" s="72">
        <f>TP_4</f>
        <v>12</v>
      </c>
      <c r="AM172" s="61">
        <f>TP_Main</f>
        <v>8</v>
      </c>
    </row>
    <row r="173" spans="8:39" ht="15.75" thickBot="1" x14ac:dyDescent="0.3">
      <c r="I173">
        <f t="shared" ref="I173:P173" si="73">$P$165</f>
        <v>3.8571428571428572</v>
      </c>
      <c r="J173">
        <f t="shared" si="73"/>
        <v>3.8571428571428572</v>
      </c>
      <c r="K173">
        <f t="shared" si="73"/>
        <v>3.8571428571428572</v>
      </c>
      <c r="L173">
        <f t="shared" si="73"/>
        <v>3.8571428571428572</v>
      </c>
      <c r="M173">
        <f t="shared" si="73"/>
        <v>3.8571428571428572</v>
      </c>
      <c r="N173">
        <f t="shared" si="73"/>
        <v>3.8571428571428572</v>
      </c>
      <c r="O173">
        <f t="shared" si="73"/>
        <v>3.8571428571428572</v>
      </c>
      <c r="P173">
        <f t="shared" si="73"/>
        <v>3.8571428571428572</v>
      </c>
      <c r="AH173" s="776"/>
      <c r="AI173" s="16">
        <f>OPV</f>
        <v>3</v>
      </c>
      <c r="AJ173" s="17">
        <f>KN_2</f>
        <v>1</v>
      </c>
      <c r="AK173" s="17">
        <f>KN_3</f>
        <v>2</v>
      </c>
      <c r="AL173" s="17">
        <f>KN_4</f>
        <v>2</v>
      </c>
      <c r="AM173" s="18">
        <f>KN_Main</f>
        <v>8</v>
      </c>
    </row>
    <row r="174" spans="8:39" x14ac:dyDescent="0.25">
      <c r="H174" t="s">
        <v>219</v>
      </c>
      <c r="I174">
        <v>0</v>
      </c>
      <c r="J174" s="121">
        <f>CalculateInt(I172,J172,I171,J171,J173)</f>
        <v>11.571428298950195</v>
      </c>
      <c r="K174" s="121">
        <f t="shared" ref="K174:P174" si="74">CalculateInt(J172,K172,J171,K171,K173)</f>
        <v>0</v>
      </c>
      <c r="L174" s="121">
        <f t="shared" si="74"/>
        <v>0</v>
      </c>
      <c r="M174" s="121">
        <f t="shared" si="74"/>
        <v>48.428569793701172</v>
      </c>
      <c r="N174" s="121">
        <f t="shared" si="74"/>
        <v>54.428573608398438</v>
      </c>
      <c r="O174" s="121">
        <f t="shared" si="74"/>
        <v>69.244895935058594</v>
      </c>
      <c r="P174" s="121">
        <f t="shared" si="74"/>
        <v>0</v>
      </c>
      <c r="AH174" s="427" t="s">
        <v>222</v>
      </c>
      <c r="AI174" s="428">
        <f>KarmicShadow(DOB,DATE(AI170, DOB_Month, DOB_Day),VALUE(OPV))</f>
        <v>-1</v>
      </c>
      <c r="AJ174" s="428">
        <f>KarmicShadow(DOB,DATE(AJ170, DOB_Month, DOB_Day),VALUE(OPV))</f>
        <v>1</v>
      </c>
      <c r="AK174" s="428">
        <f>KarmicShadow(DOB,DATE(AK170, DOB_Month, DOB_Day),VALUE(OPV))</f>
        <v>1</v>
      </c>
      <c r="AL174" s="428">
        <f>KarmicShadow(DOB,DATE(AL170, DOB_Month, DOB_Day),VALUE(OPV))</f>
        <v>1</v>
      </c>
      <c r="AM174" s="428">
        <f>KarmicShadow(DOB,DATE(AM170, DOB_Month, DOB_Day),VALUE(OPV))</f>
        <v>-1</v>
      </c>
    </row>
    <row r="176" spans="8:39" x14ac:dyDescent="0.25">
      <c r="H176" t="s">
        <v>184</v>
      </c>
      <c r="I176" s="24">
        <v>0</v>
      </c>
      <c r="J176" s="24">
        <v>12</v>
      </c>
      <c r="K176" s="24">
        <v>24</v>
      </c>
      <c r="L176" s="24">
        <v>36</v>
      </c>
      <c r="M176" s="24">
        <v>48</v>
      </c>
      <c r="N176" s="24">
        <v>60</v>
      </c>
      <c r="O176" s="24">
        <v>72</v>
      </c>
      <c r="P176" s="24">
        <v>84</v>
      </c>
      <c r="AH176" s="422" t="s">
        <v>742</v>
      </c>
      <c r="AI176" s="423">
        <f>YEAR(DOB)+AI177</f>
        <v>2054</v>
      </c>
      <c r="AJ176" s="423">
        <f>$AI$98+AJ177</f>
        <v>2055</v>
      </c>
      <c r="AK176" s="423">
        <f t="shared" ref="AK176" si="75">$AI$98+AK177</f>
        <v>2056</v>
      </c>
      <c r="AL176" s="423">
        <f t="shared" ref="AL176" si="76">$AI$98+AL177</f>
        <v>2057</v>
      </c>
      <c r="AM176" s="424">
        <f t="shared" ref="AM176" si="77">$AI$98+AM177</f>
        <v>2058</v>
      </c>
    </row>
    <row r="177" spans="8:39" ht="15.75" thickBot="1" x14ac:dyDescent="0.3">
      <c r="I177">
        <v>0</v>
      </c>
      <c r="J177">
        <f>VALUE(MID($O$168,1,1))</f>
        <v>5</v>
      </c>
      <c r="K177">
        <f>VALUE(MID($O$168,2,1))</f>
        <v>1</v>
      </c>
      <c r="L177">
        <f>VALUE(MID($O$168,3,1))</f>
        <v>8</v>
      </c>
      <c r="M177">
        <f>VALUE(MID($O$168,4,1))</f>
        <v>5</v>
      </c>
      <c r="N177">
        <f>VALUE(MID($O$168,5,1))</f>
        <v>3</v>
      </c>
      <c r="O177">
        <f>VALUE(MID($O$168,6,1))</f>
        <v>2</v>
      </c>
      <c r="P177">
        <f>VALUE(MID($O$168,7,1))</f>
        <v>3</v>
      </c>
      <c r="AH177" s="425" t="s">
        <v>743</v>
      </c>
      <c r="AI177" s="65">
        <v>65</v>
      </c>
      <c r="AJ177" s="65">
        <v>66</v>
      </c>
      <c r="AK177" s="65">
        <v>67</v>
      </c>
      <c r="AL177" s="65">
        <v>68</v>
      </c>
      <c r="AM177" s="426">
        <v>69</v>
      </c>
    </row>
    <row r="178" spans="8:39" x14ac:dyDescent="0.25">
      <c r="I178">
        <f>I176+I177</f>
        <v>0</v>
      </c>
      <c r="J178">
        <f t="shared" ref="J178:P178" si="78">J176+J177</f>
        <v>17</v>
      </c>
      <c r="K178">
        <f t="shared" si="78"/>
        <v>25</v>
      </c>
      <c r="L178">
        <f t="shared" si="78"/>
        <v>44</v>
      </c>
      <c r="M178">
        <f t="shared" si="78"/>
        <v>53</v>
      </c>
      <c r="N178">
        <f t="shared" si="78"/>
        <v>63</v>
      </c>
      <c r="O178">
        <f t="shared" si="78"/>
        <v>74</v>
      </c>
      <c r="P178">
        <f t="shared" si="78"/>
        <v>87</v>
      </c>
      <c r="AH178" s="775" t="s">
        <v>182</v>
      </c>
      <c r="AI178" s="60">
        <f>OPV</f>
        <v>3</v>
      </c>
      <c r="AJ178" s="72">
        <f>KN_2</f>
        <v>1</v>
      </c>
      <c r="AK178" s="72">
        <f>KN_3</f>
        <v>2</v>
      </c>
      <c r="AL178" s="72">
        <f>KN_4</f>
        <v>2</v>
      </c>
      <c r="AM178" s="61">
        <f>KN_Main</f>
        <v>8</v>
      </c>
    </row>
    <row r="179" spans="8:39" ht="15.75" thickBot="1" x14ac:dyDescent="0.3">
      <c r="I179">
        <f t="shared" ref="I179:P179" si="79">$P$168</f>
        <v>3.8571428571428572</v>
      </c>
      <c r="J179">
        <f t="shared" si="79"/>
        <v>3.8571428571428572</v>
      </c>
      <c r="K179">
        <f t="shared" si="79"/>
        <v>3.8571428571428572</v>
      </c>
      <c r="L179">
        <f t="shared" si="79"/>
        <v>3.8571428571428572</v>
      </c>
      <c r="M179">
        <f t="shared" si="79"/>
        <v>3.8571428571428572</v>
      </c>
      <c r="N179">
        <f t="shared" si="79"/>
        <v>3.8571428571428572</v>
      </c>
      <c r="O179">
        <f t="shared" si="79"/>
        <v>3.8571428571428572</v>
      </c>
      <c r="P179">
        <f t="shared" si="79"/>
        <v>3.8571428571428572</v>
      </c>
      <c r="AH179" s="776"/>
      <c r="AI179" s="16">
        <f>TP</f>
        <v>11</v>
      </c>
      <c r="AJ179" s="17">
        <f>TP_22</f>
        <v>9</v>
      </c>
      <c r="AK179" s="17">
        <f>TP_3</f>
        <v>20</v>
      </c>
      <c r="AL179" s="17">
        <f>TP_4</f>
        <v>12</v>
      </c>
      <c r="AM179" s="18">
        <f>TP_Main</f>
        <v>8</v>
      </c>
    </row>
    <row r="180" spans="8:39" x14ac:dyDescent="0.25">
      <c r="H180" t="s">
        <v>219</v>
      </c>
      <c r="I180">
        <v>0</v>
      </c>
      <c r="J180" s="121">
        <f>CalculateInt(I178,J178,I177,J177,J179)</f>
        <v>13.114286422729492</v>
      </c>
      <c r="K180" s="121">
        <f t="shared" ref="K180:P180" si="80">CalculateInt(J178,K178,J177,K177,K179)</f>
        <v>19.285713195800781</v>
      </c>
      <c r="L180" s="121">
        <f t="shared" si="80"/>
        <v>32.755104064941406</v>
      </c>
      <c r="M180" s="121">
        <f t="shared" si="80"/>
        <v>0</v>
      </c>
      <c r="N180" s="121">
        <f t="shared" si="80"/>
        <v>58.714286804199219</v>
      </c>
      <c r="O180" s="121">
        <f t="shared" si="80"/>
        <v>0</v>
      </c>
      <c r="P180" s="121">
        <f t="shared" si="80"/>
        <v>0</v>
      </c>
      <c r="AH180" s="427" t="s">
        <v>222</v>
      </c>
      <c r="AI180" s="428">
        <f>KarmicShadow(DOB,DATE(AI176, DOB_Month, DOB_Day),VALUE(OPV))</f>
        <v>-1</v>
      </c>
      <c r="AJ180" s="428">
        <f>KarmicShadow(DOB,DATE(AJ176, DOB_Month, DOB_Day),VALUE(OPV))</f>
        <v>-1</v>
      </c>
      <c r="AK180" s="428">
        <f>KarmicShadow(DOB,DATE(AK176, DOB_Month, DOB_Day),VALUE(OPV))</f>
        <v>1</v>
      </c>
      <c r="AL180" s="428">
        <f>KarmicShadow(DOB,DATE(AL176, DOB_Month, DOB_Day),VALUE(OPV))</f>
        <v>1</v>
      </c>
      <c r="AM180" s="428">
        <f>KarmicShadow(DOB,DATE(AM176, DOB_Month, DOB_Day),VALUE(OPV))</f>
        <v>1</v>
      </c>
    </row>
    <row r="182" spans="8:39" ht="17.25" x14ac:dyDescent="0.25">
      <c r="H182" t="s">
        <v>353</v>
      </c>
      <c r="I182" t="s">
        <v>355</v>
      </c>
      <c r="J182" t="s">
        <v>186</v>
      </c>
      <c r="K182" t="s">
        <v>354</v>
      </c>
      <c r="AH182" s="422" t="s">
        <v>742</v>
      </c>
      <c r="AI182" s="423">
        <f>YEAR(DOB)+AI183</f>
        <v>2059</v>
      </c>
      <c r="AJ182" s="423">
        <f>$AI$98+AJ183</f>
        <v>2060</v>
      </c>
      <c r="AK182" s="423">
        <f t="shared" ref="AK182" si="81">$AI$98+AK183</f>
        <v>2061</v>
      </c>
      <c r="AL182" s="423">
        <f t="shared" ref="AL182" si="82">$AI$98+AL183</f>
        <v>2062</v>
      </c>
      <c r="AM182" s="424">
        <f t="shared" ref="AM182" si="83">$AI$98+AM183</f>
        <v>2063</v>
      </c>
    </row>
    <row r="183" spans="8:39" ht="15.75" thickBot="1" x14ac:dyDescent="0.3">
      <c r="I183" t="str">
        <f>SUBSTITUTE(I168,0,1)</f>
        <v>2617</v>
      </c>
      <c r="K183" t="str">
        <f>SUBSTITUTE(K168,0,1)</f>
        <v>1989</v>
      </c>
      <c r="N183" s="24">
        <f>VALUE(I183)*VALUE(K183)</f>
        <v>5205213</v>
      </c>
      <c r="O183" t="str">
        <f t="shared" ref="O183" si="84">N183&amp;REPT("0",7-LEN(N183))</f>
        <v>5205213</v>
      </c>
      <c r="AH183" s="425" t="s">
        <v>743</v>
      </c>
      <c r="AI183" s="65">
        <v>70</v>
      </c>
      <c r="AJ183" s="65">
        <v>71</v>
      </c>
      <c r="AK183" s="65">
        <v>72</v>
      </c>
      <c r="AL183" s="65">
        <v>73</v>
      </c>
      <c r="AM183" s="426">
        <v>74</v>
      </c>
    </row>
    <row r="184" spans="8:39" x14ac:dyDescent="0.25">
      <c r="I184" s="24">
        <v>0</v>
      </c>
      <c r="J184" s="24">
        <v>12</v>
      </c>
      <c r="K184" s="24">
        <v>24</v>
      </c>
      <c r="L184" s="24">
        <v>36</v>
      </c>
      <c r="M184" s="24">
        <v>48</v>
      </c>
      <c r="N184" s="24">
        <v>60</v>
      </c>
      <c r="O184" s="24">
        <v>72</v>
      </c>
      <c r="P184" s="24">
        <v>84</v>
      </c>
      <c r="AH184" s="775" t="s">
        <v>621</v>
      </c>
      <c r="AI184" s="60">
        <f>TP</f>
        <v>11</v>
      </c>
      <c r="AJ184" s="72">
        <f>TP_22</f>
        <v>9</v>
      </c>
      <c r="AK184" s="72">
        <f>TP_3</f>
        <v>20</v>
      </c>
      <c r="AL184" s="72">
        <f>TP_4</f>
        <v>12</v>
      </c>
      <c r="AM184" s="61">
        <f>TP_Main</f>
        <v>8</v>
      </c>
    </row>
    <row r="185" spans="8:39" ht="15.75" thickBot="1" x14ac:dyDescent="0.3">
      <c r="I185">
        <v>0</v>
      </c>
      <c r="J185">
        <f>VALUE(MID($O$183,1,1))</f>
        <v>5</v>
      </c>
      <c r="K185">
        <f>VALUE(MID($O$183,2,1))</f>
        <v>2</v>
      </c>
      <c r="L185">
        <f>VALUE(MID($O$183,3,1))</f>
        <v>0</v>
      </c>
      <c r="M185">
        <f>VALUE(MID($O$183,4,1))</f>
        <v>5</v>
      </c>
      <c r="N185">
        <f>VALUE(MID($O$183,5,1))</f>
        <v>2</v>
      </c>
      <c r="O185">
        <f>VALUE(MID($O$183,6,1))</f>
        <v>1</v>
      </c>
      <c r="P185">
        <f>VALUE(MID($O$183,7,1))</f>
        <v>3</v>
      </c>
      <c r="AH185" s="776"/>
      <c r="AI185" s="16">
        <f>OPV</f>
        <v>3</v>
      </c>
      <c r="AJ185" s="17">
        <f>KN_2</f>
        <v>1</v>
      </c>
      <c r="AK185" s="17">
        <f>KN_3</f>
        <v>2</v>
      </c>
      <c r="AL185" s="17">
        <f>KN_4</f>
        <v>2</v>
      </c>
      <c r="AM185" s="18">
        <f>KN_Main</f>
        <v>8</v>
      </c>
    </row>
    <row r="186" spans="8:39" x14ac:dyDescent="0.25">
      <c r="I186">
        <f>I184+I185</f>
        <v>0</v>
      </c>
      <c r="J186">
        <f>J184+J185</f>
        <v>17</v>
      </c>
      <c r="K186">
        <f t="shared" ref="K186:P186" si="85">K184+K185</f>
        <v>26</v>
      </c>
      <c r="L186">
        <f t="shared" si="85"/>
        <v>36</v>
      </c>
      <c r="M186">
        <f t="shared" si="85"/>
        <v>53</v>
      </c>
      <c r="N186">
        <f t="shared" si="85"/>
        <v>62</v>
      </c>
      <c r="O186">
        <f t="shared" si="85"/>
        <v>73</v>
      </c>
      <c r="P186">
        <f t="shared" si="85"/>
        <v>87</v>
      </c>
      <c r="AH186" s="427" t="s">
        <v>222</v>
      </c>
      <c r="AI186" s="428">
        <f>KarmicShadow(DOB,DATE(AI182, DOB_Month, DOB_Day),VALUE(OPV))</f>
        <v>-1</v>
      </c>
      <c r="AJ186" s="428">
        <f>KarmicShadow(DOB,DATE(AJ182, DOB_Month, DOB_Day),VALUE(OPV))</f>
        <v>-1</v>
      </c>
      <c r="AK186" s="428">
        <f>KarmicShadow(DOB,DATE(AK182, DOB_Month, DOB_Day),VALUE(OPV))</f>
        <v>-1</v>
      </c>
      <c r="AL186" s="428">
        <f>KarmicShadow(DOB,DATE(AL182, DOB_Month, DOB_Day),VALUE(OPV))</f>
        <v>1</v>
      </c>
      <c r="AM186" s="428">
        <f>KarmicShadow(DOB,DATE(AM182, DOB_Month, DOB_Day),VALUE(OPV))</f>
        <v>1</v>
      </c>
    </row>
    <row r="188" spans="8:39" x14ac:dyDescent="0.25">
      <c r="AH188" s="422" t="s">
        <v>742</v>
      </c>
      <c r="AI188" s="423">
        <f>YEAR(DOB)+AI189</f>
        <v>2064</v>
      </c>
      <c r="AJ188" s="423">
        <f>$AI$98+AJ189</f>
        <v>2065</v>
      </c>
      <c r="AK188" s="423">
        <f t="shared" ref="AK188" si="86">$AI$98+AK189</f>
        <v>2066</v>
      </c>
      <c r="AL188" s="423">
        <f t="shared" ref="AL188" si="87">$AI$98+AL189</f>
        <v>2067</v>
      </c>
      <c r="AM188" s="424">
        <f t="shared" ref="AM188" si="88">$AI$98+AM189</f>
        <v>2068</v>
      </c>
    </row>
    <row r="189" spans="8:39" ht="15.75" thickBot="1" x14ac:dyDescent="0.3">
      <c r="AH189" s="425" t="s">
        <v>743</v>
      </c>
      <c r="AI189" s="65">
        <v>75</v>
      </c>
      <c r="AJ189" s="65">
        <v>76</v>
      </c>
      <c r="AK189" s="65">
        <v>77</v>
      </c>
      <c r="AL189" s="65">
        <v>78</v>
      </c>
      <c r="AM189" s="426">
        <v>79</v>
      </c>
    </row>
    <row r="190" spans="8:39" x14ac:dyDescent="0.25">
      <c r="AH190" s="775" t="s">
        <v>182</v>
      </c>
      <c r="AI190" s="60">
        <f>OPV</f>
        <v>3</v>
      </c>
      <c r="AJ190" s="72">
        <f>KN_2</f>
        <v>1</v>
      </c>
      <c r="AK190" s="72">
        <f>KN_3</f>
        <v>2</v>
      </c>
      <c r="AL190" s="72">
        <f>KN_4</f>
        <v>2</v>
      </c>
      <c r="AM190" s="61">
        <f>KN_Main</f>
        <v>8</v>
      </c>
    </row>
    <row r="191" spans="8:39" ht="15.75" thickBot="1" x14ac:dyDescent="0.3">
      <c r="AH191" s="776"/>
      <c r="AI191" s="16">
        <f>TP</f>
        <v>11</v>
      </c>
      <c r="AJ191" s="17">
        <f>TP_22</f>
        <v>9</v>
      </c>
      <c r="AK191" s="17">
        <f>TP_3</f>
        <v>20</v>
      </c>
      <c r="AL191" s="17">
        <f>TP_4</f>
        <v>12</v>
      </c>
      <c r="AM191" s="18">
        <f>TP_Main</f>
        <v>8</v>
      </c>
    </row>
    <row r="192" spans="8:39" x14ac:dyDescent="0.25">
      <c r="AH192" s="427" t="s">
        <v>222</v>
      </c>
      <c r="AI192" s="428">
        <f>KarmicShadow(DOB,DATE(AI188, DOB_Month, DOB_Day),VALUE(OPV))</f>
        <v>1</v>
      </c>
      <c r="AJ192" s="428">
        <f>KarmicShadow(DOB,DATE(AJ188, DOB_Month, DOB_Day),VALUE(OPV))</f>
        <v>-1</v>
      </c>
      <c r="AK192" s="428">
        <f>KarmicShadow(DOB,DATE(AK188, DOB_Month, DOB_Day),VALUE(OPV))</f>
        <v>-1</v>
      </c>
      <c r="AL192" s="428">
        <f>KarmicShadow(DOB,DATE(AL188, DOB_Month, DOB_Day),VALUE(OPV))</f>
        <v>-1</v>
      </c>
      <c r="AM192" s="428">
        <f>KarmicShadow(DOB,DATE(AM188, DOB_Month, DOB_Day),VALUE(OPV))</f>
        <v>1</v>
      </c>
    </row>
    <row r="194" spans="34:39" x14ac:dyDescent="0.25">
      <c r="AH194" s="422" t="s">
        <v>742</v>
      </c>
      <c r="AI194" s="423">
        <f>YEAR(DOB)+AI195</f>
        <v>2069</v>
      </c>
      <c r="AJ194" s="423">
        <f>$AI$98+AJ195</f>
        <v>2070</v>
      </c>
      <c r="AK194" s="423">
        <f t="shared" ref="AK194" si="89">$AI$98+AK195</f>
        <v>2071</v>
      </c>
      <c r="AL194" s="423">
        <f t="shared" ref="AL194" si="90">$AI$98+AL195</f>
        <v>2072</v>
      </c>
      <c r="AM194" s="424">
        <f t="shared" ref="AM194" si="91">$AI$98+AM195</f>
        <v>2073</v>
      </c>
    </row>
    <row r="195" spans="34:39" ht="15.75" thickBot="1" x14ac:dyDescent="0.3">
      <c r="AH195" s="425" t="s">
        <v>743</v>
      </c>
      <c r="AI195" s="65">
        <v>80</v>
      </c>
      <c r="AJ195" s="65">
        <v>81</v>
      </c>
      <c r="AK195" s="65">
        <v>82</v>
      </c>
      <c r="AL195" s="65">
        <v>83</v>
      </c>
      <c r="AM195" s="426">
        <v>84</v>
      </c>
    </row>
    <row r="196" spans="34:39" x14ac:dyDescent="0.25">
      <c r="AH196" s="775" t="s">
        <v>621</v>
      </c>
      <c r="AI196" s="60">
        <f>TP</f>
        <v>11</v>
      </c>
      <c r="AJ196" s="72">
        <f>TP_22</f>
        <v>9</v>
      </c>
      <c r="AK196" s="72">
        <f>TP_3</f>
        <v>20</v>
      </c>
      <c r="AL196" s="72">
        <f>TP_4</f>
        <v>12</v>
      </c>
      <c r="AM196" s="61">
        <f>TP_Main</f>
        <v>8</v>
      </c>
    </row>
    <row r="197" spans="34:39" ht="15.75" thickBot="1" x14ac:dyDescent="0.3">
      <c r="AH197" s="776"/>
      <c r="AI197" s="16">
        <f>OPV</f>
        <v>3</v>
      </c>
      <c r="AJ197" s="17">
        <f>KN_2</f>
        <v>1</v>
      </c>
      <c r="AK197" s="17">
        <f>KN_3</f>
        <v>2</v>
      </c>
      <c r="AL197" s="17">
        <f>KN_4</f>
        <v>2</v>
      </c>
      <c r="AM197" s="18">
        <f>KN_Main</f>
        <v>8</v>
      </c>
    </row>
    <row r="198" spans="34:39" x14ac:dyDescent="0.25">
      <c r="AH198" s="427" t="s">
        <v>222</v>
      </c>
      <c r="AI198" s="428">
        <f>KarmicShadow(DOB,DATE(AI194, DOB_Month, DOB_Day),VALUE(OPV))</f>
        <v>1</v>
      </c>
      <c r="AJ198" s="428">
        <f>KarmicShadow(DOB,DATE(AJ194, DOB_Month, DOB_Day),VALUE(OPV))</f>
        <v>1</v>
      </c>
      <c r="AK198" s="428">
        <f>KarmicShadow(DOB,DATE(AK194, DOB_Month, DOB_Day),VALUE(OPV))</f>
        <v>-1</v>
      </c>
      <c r="AL198" s="428">
        <f>KarmicShadow(DOB,DATE(AL194, DOB_Month, DOB_Day),VALUE(OPV))</f>
        <v>-1</v>
      </c>
      <c r="AM198" s="428">
        <f>KarmicShadow(DOB,DATE(AM194, DOB_Month, DOB_Day),VALUE(OPV))</f>
        <v>-1</v>
      </c>
    </row>
    <row r="200" spans="34:39" x14ac:dyDescent="0.25">
      <c r="AH200" s="422" t="s">
        <v>742</v>
      </c>
      <c r="AI200" s="423">
        <f>YEAR(DOB)+AI201</f>
        <v>2074</v>
      </c>
      <c r="AJ200" s="423">
        <f>$AI$98+AJ201</f>
        <v>2075</v>
      </c>
      <c r="AK200" s="423">
        <f t="shared" ref="AK200" si="92">$AI$98+AK201</f>
        <v>2076</v>
      </c>
      <c r="AL200" s="423">
        <f t="shared" ref="AL200" si="93">$AI$98+AL201</f>
        <v>2077</v>
      </c>
      <c r="AM200" s="424">
        <f t="shared" ref="AM200" si="94">$AI$98+AM201</f>
        <v>2078</v>
      </c>
    </row>
    <row r="201" spans="34:39" ht="15.75" thickBot="1" x14ac:dyDescent="0.3">
      <c r="AH201" s="425" t="s">
        <v>743</v>
      </c>
      <c r="AI201" s="65">
        <v>85</v>
      </c>
      <c r="AJ201" s="65">
        <v>86</v>
      </c>
      <c r="AK201" s="65">
        <v>87</v>
      </c>
      <c r="AL201" s="65">
        <v>88</v>
      </c>
      <c r="AM201" s="426">
        <v>89</v>
      </c>
    </row>
    <row r="202" spans="34:39" x14ac:dyDescent="0.25">
      <c r="AH202" s="775" t="s">
        <v>182</v>
      </c>
      <c r="AI202" s="60">
        <f>OPV</f>
        <v>3</v>
      </c>
      <c r="AJ202" s="72">
        <f>KN_2</f>
        <v>1</v>
      </c>
      <c r="AK202" s="72">
        <f>KN_3</f>
        <v>2</v>
      </c>
      <c r="AL202" s="72">
        <f>KN_4</f>
        <v>2</v>
      </c>
      <c r="AM202" s="61">
        <f>KN_Main</f>
        <v>8</v>
      </c>
    </row>
    <row r="203" spans="34:39" ht="15.75" thickBot="1" x14ac:dyDescent="0.3">
      <c r="AH203" s="776"/>
      <c r="AI203" s="16">
        <f>TP</f>
        <v>11</v>
      </c>
      <c r="AJ203" s="17">
        <f>TP_22</f>
        <v>9</v>
      </c>
      <c r="AK203" s="17">
        <f>TP_3</f>
        <v>20</v>
      </c>
      <c r="AL203" s="17">
        <f>TP_4</f>
        <v>12</v>
      </c>
      <c r="AM203" s="18">
        <f>TP_Main</f>
        <v>8</v>
      </c>
    </row>
    <row r="204" spans="34:39" x14ac:dyDescent="0.25">
      <c r="AH204" s="427" t="s">
        <v>222</v>
      </c>
      <c r="AI204" s="428">
        <f>KarmicShadow(DOB,DATE(AI200, DOB_Month, DOB_Day),VALUE(OPV))</f>
        <v>1</v>
      </c>
      <c r="AJ204" s="428">
        <f>KarmicShadow(DOB,DATE(AJ200, DOB_Month, DOB_Day),VALUE(OPV))</f>
        <v>1</v>
      </c>
      <c r="AK204" s="428">
        <f>KarmicShadow(DOB,DATE(AK200, DOB_Month, DOB_Day),VALUE(OPV))</f>
        <v>1</v>
      </c>
      <c r="AL204" s="428">
        <f>KarmicShadow(DOB,DATE(AL200, DOB_Month, DOB_Day),VALUE(OPV))</f>
        <v>-1</v>
      </c>
      <c r="AM204" s="428">
        <f>KarmicShadow(DOB,DATE(AM200, DOB_Month, DOB_Day),VALUE(OPV))</f>
        <v>-1</v>
      </c>
    </row>
    <row r="214" spans="6:15" x14ac:dyDescent="0.25">
      <c r="F214" t="s">
        <v>189</v>
      </c>
    </row>
    <row r="215" spans="6:15" x14ac:dyDescent="0.25">
      <c r="F215" t="s">
        <v>187</v>
      </c>
      <c r="G215" t="s">
        <v>186</v>
      </c>
      <c r="H215" t="s">
        <v>12</v>
      </c>
      <c r="I215" t="s">
        <v>188</v>
      </c>
    </row>
    <row r="216" spans="6:15" x14ac:dyDescent="0.25">
      <c r="F216">
        <f>MKist</f>
        <v>41</v>
      </c>
      <c r="H216">
        <f>DOB_Year</f>
        <v>1989</v>
      </c>
      <c r="I216">
        <f>MKist*DOB_Year*35</f>
        <v>2854215</v>
      </c>
      <c r="J216" t="str">
        <f>Reverse(I216)</f>
        <v>5124582</v>
      </c>
      <c r="K216" t="str">
        <f>J216&amp;REPT("0",7-LEN(J216))</f>
        <v>5124582</v>
      </c>
      <c r="L216" t="str">
        <f>I216&amp;REPT("0",7-LEN(I216))</f>
        <v>2854215</v>
      </c>
      <c r="M216">
        <f>SUM(I219:O219)/7</f>
        <v>3.8571428571428572</v>
      </c>
    </row>
    <row r="218" spans="6:15" x14ac:dyDescent="0.25">
      <c r="H218" s="82">
        <v>0</v>
      </c>
      <c r="I218" s="82">
        <v>10</v>
      </c>
      <c r="J218" s="82">
        <v>20</v>
      </c>
      <c r="K218" s="82">
        <v>30</v>
      </c>
      <c r="L218" s="82">
        <v>40</v>
      </c>
      <c r="M218" s="82">
        <v>50</v>
      </c>
      <c r="N218" s="82">
        <v>60</v>
      </c>
      <c r="O218" s="82">
        <v>70</v>
      </c>
    </row>
    <row r="219" spans="6:15" x14ac:dyDescent="0.25">
      <c r="H219">
        <v>0</v>
      </c>
      <c r="I219">
        <f>VALUE(MID(K216,1,1))</f>
        <v>5</v>
      </c>
      <c r="J219">
        <f>VALUE(MID(K216,2,1))</f>
        <v>1</v>
      </c>
      <c r="K219">
        <f>VALUE(MID(K216,3,1))</f>
        <v>2</v>
      </c>
      <c r="L219">
        <f>VALUE(MID(K216,4,1))</f>
        <v>4</v>
      </c>
      <c r="M219">
        <f>VALUE(MID(K216,5,1))</f>
        <v>5</v>
      </c>
      <c r="N219">
        <f>VALUE(MID(K216,6,1))</f>
        <v>8</v>
      </c>
      <c r="O219">
        <f>VALUE(MID(K216,7,1))</f>
        <v>2</v>
      </c>
    </row>
    <row r="220" spans="6:15" x14ac:dyDescent="0.25">
      <c r="H220" s="82">
        <f>H219+H218</f>
        <v>0</v>
      </c>
      <c r="I220" s="82">
        <f t="shared" ref="I220:O220" si="95">I219+I218</f>
        <v>15</v>
      </c>
      <c r="J220" s="82">
        <f t="shared" si="95"/>
        <v>21</v>
      </c>
      <c r="K220" s="82">
        <f t="shared" si="95"/>
        <v>32</v>
      </c>
      <c r="L220" s="82">
        <f t="shared" si="95"/>
        <v>44</v>
      </c>
      <c r="M220" s="82">
        <f t="shared" si="95"/>
        <v>55</v>
      </c>
      <c r="N220" s="82">
        <f t="shared" si="95"/>
        <v>68</v>
      </c>
      <c r="O220" s="82">
        <f t="shared" si="95"/>
        <v>72</v>
      </c>
    </row>
    <row r="221" spans="6:15" x14ac:dyDescent="0.25">
      <c r="H221" s="121">
        <f t="shared" ref="H221:O221" si="96">$M$216</f>
        <v>3.8571428571428572</v>
      </c>
      <c r="I221" s="121">
        <f t="shared" si="96"/>
        <v>3.8571428571428572</v>
      </c>
      <c r="J221" s="121">
        <f t="shared" si="96"/>
        <v>3.8571428571428572</v>
      </c>
      <c r="K221" s="121">
        <f t="shared" si="96"/>
        <v>3.8571428571428572</v>
      </c>
      <c r="L221" s="121">
        <f t="shared" si="96"/>
        <v>3.8571428571428572</v>
      </c>
      <c r="M221" s="121">
        <f t="shared" si="96"/>
        <v>3.8571428571428572</v>
      </c>
      <c r="N221" s="121">
        <f t="shared" si="96"/>
        <v>3.8571428571428572</v>
      </c>
      <c r="O221" s="121">
        <f t="shared" si="96"/>
        <v>3.8571428571428572</v>
      </c>
    </row>
    <row r="222" spans="6:15" x14ac:dyDescent="0.25">
      <c r="G222" t="s">
        <v>219</v>
      </c>
      <c r="H222">
        <v>0</v>
      </c>
      <c r="I222" s="121">
        <f>CalculateInt(H220,I220,H219,I219,I221)</f>
        <v>11.571428298950195</v>
      </c>
      <c r="J222" s="121">
        <f t="shared" ref="J222:O222" si="97">CalculateInt(I220,J220,I219,J219,J221)</f>
        <v>16.714284896850586</v>
      </c>
      <c r="K222" s="121">
        <f t="shared" si="97"/>
        <v>0</v>
      </c>
      <c r="L222" s="121">
        <f t="shared" si="97"/>
        <v>43.142856597900391</v>
      </c>
      <c r="M222" s="121">
        <f t="shared" si="97"/>
        <v>0</v>
      </c>
      <c r="N222" s="121">
        <f t="shared" si="97"/>
        <v>0</v>
      </c>
      <c r="O222" s="121">
        <f t="shared" si="97"/>
        <v>70.76190185546875</v>
      </c>
    </row>
    <row r="224" spans="6:15" x14ac:dyDescent="0.25">
      <c r="H224" s="82">
        <v>0</v>
      </c>
      <c r="I224" s="82">
        <v>10</v>
      </c>
      <c r="J224" s="82">
        <v>20</v>
      </c>
      <c r="K224" s="82">
        <v>30</v>
      </c>
      <c r="L224" s="82">
        <v>40</v>
      </c>
      <c r="M224" s="82">
        <v>50</v>
      </c>
      <c r="N224" s="82">
        <v>60</v>
      </c>
      <c r="O224" s="82">
        <v>70</v>
      </c>
    </row>
    <row r="225" spans="7:15" x14ac:dyDescent="0.25">
      <c r="H225">
        <v>0</v>
      </c>
      <c r="I225">
        <f>VALUE(MID($L$216,1,1))</f>
        <v>2</v>
      </c>
      <c r="J225">
        <f>VALUE(MID($L$216,2,1))</f>
        <v>8</v>
      </c>
      <c r="K225">
        <f>VALUE(MID($L$216,3,1))</f>
        <v>5</v>
      </c>
      <c r="L225">
        <f>VALUE(MID($L$216,4,1))</f>
        <v>4</v>
      </c>
      <c r="M225">
        <f>VALUE(MID($L$216,5,1))</f>
        <v>2</v>
      </c>
      <c r="N225">
        <f>VALUE(MID($L$216,6,1))</f>
        <v>1</v>
      </c>
      <c r="O225">
        <f>VALUE(MID($L$216,7,1))</f>
        <v>5</v>
      </c>
    </row>
    <row r="226" spans="7:15" x14ac:dyDescent="0.25">
      <c r="H226" s="82">
        <f>H225+H224</f>
        <v>0</v>
      </c>
      <c r="I226" s="82">
        <f t="shared" ref="I226" si="98">I225+I224</f>
        <v>12</v>
      </c>
      <c r="J226" s="82">
        <f t="shared" ref="J226" si="99">J225+J224</f>
        <v>28</v>
      </c>
      <c r="K226" s="82">
        <f t="shared" ref="K226" si="100">K225+K224</f>
        <v>35</v>
      </c>
      <c r="L226" s="82">
        <f t="shared" ref="L226" si="101">L225+L224</f>
        <v>44</v>
      </c>
      <c r="M226" s="82">
        <f t="shared" ref="M226" si="102">M225+M224</f>
        <v>52</v>
      </c>
      <c r="N226" s="82">
        <f t="shared" ref="N226" si="103">N225+N224</f>
        <v>61</v>
      </c>
      <c r="O226" s="82">
        <f t="shared" ref="O226" si="104">O225+O224</f>
        <v>75</v>
      </c>
    </row>
    <row r="227" spans="7:15" x14ac:dyDescent="0.25">
      <c r="H227" s="121">
        <f t="shared" ref="H227:O227" si="105">$M$216</f>
        <v>3.8571428571428572</v>
      </c>
      <c r="I227" s="121">
        <f t="shared" si="105"/>
        <v>3.8571428571428572</v>
      </c>
      <c r="J227" s="121">
        <f t="shared" si="105"/>
        <v>3.8571428571428572</v>
      </c>
      <c r="K227" s="121">
        <f t="shared" si="105"/>
        <v>3.8571428571428572</v>
      </c>
      <c r="L227" s="121">
        <f t="shared" si="105"/>
        <v>3.8571428571428572</v>
      </c>
      <c r="M227" s="121">
        <f t="shared" si="105"/>
        <v>3.8571428571428572</v>
      </c>
      <c r="N227" s="121">
        <f t="shared" si="105"/>
        <v>3.8571428571428572</v>
      </c>
      <c r="O227" s="121">
        <f t="shared" si="105"/>
        <v>3.8571428571428572</v>
      </c>
    </row>
    <row r="228" spans="7:15" x14ac:dyDescent="0.25">
      <c r="G228" t="s">
        <v>219</v>
      </c>
      <c r="H228">
        <v>0</v>
      </c>
      <c r="I228" s="121">
        <f>CalculateInt(H226,I226,H225,I225,I227)</f>
        <v>0</v>
      </c>
      <c r="J228" s="121">
        <f t="shared" ref="J228:O228" si="106">CalculateInt(I226,J226,I225,J225,J227)</f>
        <v>16.952381134033203</v>
      </c>
      <c r="K228" s="121">
        <f t="shared" si="106"/>
        <v>0</v>
      </c>
      <c r="L228" s="121">
        <f t="shared" si="106"/>
        <v>0</v>
      </c>
      <c r="M228" s="121">
        <f t="shared" si="106"/>
        <v>44.571426391601563</v>
      </c>
      <c r="N228" s="121">
        <f t="shared" si="106"/>
        <v>0</v>
      </c>
      <c r="O228" s="121">
        <f t="shared" si="106"/>
        <v>71</v>
      </c>
    </row>
    <row r="246" spans="7:31" x14ac:dyDescent="0.25">
      <c r="W246" s="750" t="s">
        <v>192</v>
      </c>
      <c r="X246" s="750"/>
      <c r="Y246" s="750"/>
      <c r="Z246" s="750"/>
      <c r="AA246" s="750"/>
      <c r="AB246" t="s">
        <v>193</v>
      </c>
      <c r="AC246" t="s">
        <v>194</v>
      </c>
      <c r="AD246" t="s">
        <v>195</v>
      </c>
      <c r="AE246" t="s">
        <v>196</v>
      </c>
    </row>
    <row r="247" spans="7:31" x14ac:dyDescent="0.25">
      <c r="W247" s="206" t="s">
        <v>197</v>
      </c>
      <c r="X247" s="206"/>
      <c r="Y247" s="206"/>
      <c r="Z247" s="206"/>
      <c r="AA247" s="206"/>
      <c r="AB247" s="68" t="str">
        <f>CONCATENATE(0," - ", ($I$257-1))</f>
        <v>0 - 13</v>
      </c>
      <c r="AC247" s="111">
        <f>$I$257</f>
        <v>14</v>
      </c>
      <c r="AD247" s="22" t="str">
        <f>IF($I$256-$H$256&gt;0,"↗","↘")</f>
        <v>↗</v>
      </c>
      <c r="AE247" s="111">
        <f>$I$256</f>
        <v>4</v>
      </c>
    </row>
    <row r="248" spans="7:31" x14ac:dyDescent="0.25">
      <c r="W248" s="206" t="s">
        <v>198</v>
      </c>
      <c r="X248" s="206"/>
      <c r="Y248" s="206"/>
      <c r="Z248" s="206"/>
      <c r="AA248" s="206"/>
      <c r="AB248" s="68" t="str">
        <f>CONCATENATE($I$257, " - ", $J$257-1)</f>
        <v>14 - 21</v>
      </c>
      <c r="AC248" s="111">
        <f>$J$257</f>
        <v>22</v>
      </c>
      <c r="AD248" s="68" t="str">
        <f>IF($J$256-$I$256&gt;0,"↗",IF($J$256-$I$256=0,"→", "↘"))</f>
        <v>↘</v>
      </c>
      <c r="AE248" s="111">
        <f>$J$256</f>
        <v>2</v>
      </c>
    </row>
    <row r="249" spans="7:31" x14ac:dyDescent="0.25">
      <c r="W249" s="206" t="s">
        <v>199</v>
      </c>
      <c r="X249" s="206"/>
      <c r="Y249" s="206"/>
      <c r="Z249" s="206"/>
      <c r="AA249" s="206"/>
      <c r="AB249" s="68" t="str">
        <f>CONCATENATE($J$257, " - ", $K$257-1)</f>
        <v>22 - 33</v>
      </c>
      <c r="AC249" s="111">
        <f>$K$257</f>
        <v>34</v>
      </c>
      <c r="AD249" s="68" t="str">
        <f>IF($K$256-$J$256&gt;0,"↗",IF($K$256-$J$256=0,"→", "↘"))</f>
        <v>↗</v>
      </c>
      <c r="AE249" s="111">
        <f>$K$256</f>
        <v>4</v>
      </c>
    </row>
    <row r="250" spans="7:31" x14ac:dyDescent="0.25">
      <c r="W250" s="206" t="s">
        <v>200</v>
      </c>
      <c r="X250" s="206"/>
      <c r="Y250" s="206"/>
      <c r="Z250" s="206"/>
      <c r="AA250" s="206"/>
      <c r="AB250" s="68" t="str">
        <f>CONCATENATE(K257, " - ", L257-1)</f>
        <v>34 - 39</v>
      </c>
      <c r="AC250" s="111">
        <f>$L$257</f>
        <v>40</v>
      </c>
      <c r="AD250" s="68" t="str">
        <f>IF($L$256-$K$256&gt;0,"↗",IF($L$256-$K$256=0,"→", "↘"))</f>
        <v>↘</v>
      </c>
      <c r="AE250" s="111">
        <f>$L$256</f>
        <v>0</v>
      </c>
    </row>
    <row r="251" spans="7:31" x14ac:dyDescent="0.25">
      <c r="G251" t="s">
        <v>191</v>
      </c>
      <c r="W251" s="206" t="s">
        <v>201</v>
      </c>
      <c r="X251" s="206"/>
      <c r="Y251" s="206"/>
      <c r="Z251" s="206"/>
      <c r="AA251" s="206"/>
      <c r="AB251" s="68" t="str">
        <f>CONCATENATE($L$257, " - ", $M$257-1)</f>
        <v>40 - 54</v>
      </c>
      <c r="AC251" s="111">
        <f>$M$257</f>
        <v>55</v>
      </c>
      <c r="AD251" s="68" t="str">
        <f>IF($M$256-$L$256&gt;0,"↗",IF($M$256-$L$256=0,"→", "↘"))</f>
        <v>↗</v>
      </c>
      <c r="AE251" s="111">
        <f>$M$256</f>
        <v>5</v>
      </c>
    </row>
    <row r="252" spans="7:31" x14ac:dyDescent="0.25">
      <c r="G252" t="s">
        <v>187</v>
      </c>
      <c r="H252" t="s">
        <v>186</v>
      </c>
      <c r="I252" t="s">
        <v>190</v>
      </c>
      <c r="K252">
        <f>MKist*DOB_Year*52</f>
        <v>4240548</v>
      </c>
      <c r="L252" t="str">
        <f>K252&amp;REPT("0",7-LEN(K252))</f>
        <v>4240548</v>
      </c>
      <c r="M252">
        <f>SUM(I256:O256)/7</f>
        <v>3.8571428571428572</v>
      </c>
      <c r="W252" s="206" t="s">
        <v>202</v>
      </c>
      <c r="X252" s="206"/>
      <c r="Y252" s="206"/>
      <c r="Z252" s="206"/>
      <c r="AA252" s="206"/>
      <c r="AB252" s="68" t="str">
        <f>CONCATENATE($M$257, " - ", $N$257-1)</f>
        <v>55 - 63</v>
      </c>
      <c r="AC252" s="111">
        <f>$N$257</f>
        <v>64</v>
      </c>
      <c r="AD252" s="68" t="str">
        <f>IF($N$256-$M$256&gt;0,"↗",IF($N$256-$M$256=0,"→", "↘"))</f>
        <v>↘</v>
      </c>
      <c r="AE252" s="111">
        <f>$N$256</f>
        <v>4</v>
      </c>
    </row>
    <row r="253" spans="7:31" x14ac:dyDescent="0.25">
      <c r="G253">
        <f>MKist</f>
        <v>41</v>
      </c>
      <c r="I253">
        <f>DOB_Year</f>
        <v>1989</v>
      </c>
      <c r="W253" s="206" t="s">
        <v>203</v>
      </c>
      <c r="X253" s="206"/>
      <c r="Y253" s="206"/>
      <c r="Z253" s="206"/>
      <c r="AA253" s="206"/>
      <c r="AB253" s="68" t="str">
        <f>CONCATENATE($O$257, " - ", 90)</f>
        <v>78 - 90</v>
      </c>
      <c r="AC253" s="111">
        <f>$O$257</f>
        <v>78</v>
      </c>
      <c r="AD253" s="68" t="str">
        <f>IF($O$256-$N$256&gt;0,"↗",IF($O$256-$N$256=0,"→", "↘"))</f>
        <v>↗</v>
      </c>
      <c r="AE253" s="111">
        <f>$O$256</f>
        <v>8</v>
      </c>
    </row>
    <row r="255" spans="7:31" x14ac:dyDescent="0.25">
      <c r="H255" s="82">
        <v>0</v>
      </c>
      <c r="I255" s="82">
        <v>10</v>
      </c>
      <c r="J255" s="82">
        <v>20</v>
      </c>
      <c r="K255" s="82">
        <v>30</v>
      </c>
      <c r="L255" s="82">
        <v>40</v>
      </c>
      <c r="M255" s="82">
        <v>50</v>
      </c>
      <c r="N255" s="82">
        <v>60</v>
      </c>
      <c r="O255" s="82">
        <v>70</v>
      </c>
    </row>
    <row r="256" spans="7:31" x14ac:dyDescent="0.25">
      <c r="H256">
        <v>0</v>
      </c>
      <c r="I256">
        <f>VALUE(MID($L$252,1,1))</f>
        <v>4</v>
      </c>
      <c r="J256">
        <f>VALUE(MID($L$252,2,1))</f>
        <v>2</v>
      </c>
      <c r="K256">
        <f>VALUE(MID($L$252,3,1))</f>
        <v>4</v>
      </c>
      <c r="L256">
        <f>VALUE(MID($L$252,4,1))</f>
        <v>0</v>
      </c>
      <c r="M256">
        <f>VALUE(MID($L$252,5,1))</f>
        <v>5</v>
      </c>
      <c r="N256">
        <f>VALUE(MID($L$252,6,1))</f>
        <v>4</v>
      </c>
      <c r="O256">
        <f>VALUE(MID($L$252,7,1))</f>
        <v>8</v>
      </c>
    </row>
    <row r="257" spans="7:15" x14ac:dyDescent="0.25">
      <c r="H257" s="82">
        <f>H255+H256</f>
        <v>0</v>
      </c>
      <c r="I257" s="82">
        <f t="shared" ref="I257:O257" si="107">I255+I256</f>
        <v>14</v>
      </c>
      <c r="J257" s="82">
        <f t="shared" si="107"/>
        <v>22</v>
      </c>
      <c r="K257" s="82">
        <f t="shared" si="107"/>
        <v>34</v>
      </c>
      <c r="L257" s="82">
        <f t="shared" si="107"/>
        <v>40</v>
      </c>
      <c r="M257" s="82">
        <f t="shared" si="107"/>
        <v>55</v>
      </c>
      <c r="N257" s="82">
        <f t="shared" si="107"/>
        <v>64</v>
      </c>
      <c r="O257" s="82">
        <f t="shared" si="107"/>
        <v>78</v>
      </c>
    </row>
    <row r="258" spans="7:15" x14ac:dyDescent="0.25">
      <c r="H258">
        <f t="shared" ref="H258:O258" si="108">$M$252</f>
        <v>3.8571428571428572</v>
      </c>
      <c r="I258">
        <f t="shared" si="108"/>
        <v>3.8571428571428572</v>
      </c>
      <c r="J258">
        <f t="shared" si="108"/>
        <v>3.8571428571428572</v>
      </c>
      <c r="K258">
        <f t="shared" si="108"/>
        <v>3.8571428571428572</v>
      </c>
      <c r="L258">
        <f t="shared" si="108"/>
        <v>3.8571428571428572</v>
      </c>
      <c r="M258">
        <f t="shared" si="108"/>
        <v>3.8571428571428572</v>
      </c>
      <c r="N258">
        <f t="shared" si="108"/>
        <v>3.8571428571428572</v>
      </c>
      <c r="O258">
        <f t="shared" si="108"/>
        <v>3.8571428571428572</v>
      </c>
    </row>
    <row r="259" spans="7:15" x14ac:dyDescent="0.25">
      <c r="G259" t="s">
        <v>219</v>
      </c>
      <c r="H259">
        <v>0</v>
      </c>
      <c r="I259" s="121">
        <f>CalculateInt(H257,I257,H256,I256,I258)</f>
        <v>13.5</v>
      </c>
      <c r="J259" s="121">
        <f t="shared" ref="J259:O259" si="109">CalculateInt(I257,J257,I256,J256,J258)</f>
        <v>14.571428298950195</v>
      </c>
      <c r="K259" s="121">
        <f t="shared" si="109"/>
        <v>33.142856597900391</v>
      </c>
      <c r="L259" s="121">
        <f t="shared" si="109"/>
        <v>34.214286804199219</v>
      </c>
      <c r="M259" s="121">
        <f t="shared" si="109"/>
        <v>51.571430206298828</v>
      </c>
      <c r="N259" s="121">
        <f t="shared" si="109"/>
        <v>0</v>
      </c>
      <c r="O259" s="121">
        <f t="shared" si="109"/>
        <v>0</v>
      </c>
    </row>
    <row r="283" spans="8:16" x14ac:dyDescent="0.25">
      <c r="H283" t="s">
        <v>350</v>
      </c>
    </row>
    <row r="284" spans="8:16" x14ac:dyDescent="0.25">
      <c r="H284" t="s">
        <v>12</v>
      </c>
      <c r="I284" t="s">
        <v>352</v>
      </c>
      <c r="K284" t="s">
        <v>351</v>
      </c>
    </row>
    <row r="285" spans="8:16" x14ac:dyDescent="0.25">
      <c r="H285">
        <f>DOB_Year</f>
        <v>1989</v>
      </c>
      <c r="I285">
        <f>V24</f>
        <v>5</v>
      </c>
      <c r="J285">
        <f>StagnationFactor</f>
        <v>2</v>
      </c>
      <c r="L285">
        <f>H285*I285*J285</f>
        <v>19890</v>
      </c>
      <c r="M285" t="str">
        <f>L285&amp;REPT("0",7-LEN(L285))</f>
        <v>1989000</v>
      </c>
      <c r="N285" s="121">
        <f>SUM(J288:P288)/7</f>
        <v>3.8571428571428572</v>
      </c>
    </row>
    <row r="287" spans="8:16" x14ac:dyDescent="0.25">
      <c r="I287" s="82">
        <v>0</v>
      </c>
      <c r="J287" s="82">
        <v>10</v>
      </c>
      <c r="K287" s="82">
        <v>20</v>
      </c>
      <c r="L287" s="82">
        <v>30</v>
      </c>
      <c r="M287" s="82">
        <v>40</v>
      </c>
      <c r="N287" s="82">
        <v>50</v>
      </c>
      <c r="O287" s="82">
        <v>60</v>
      </c>
      <c r="P287" s="82">
        <v>70</v>
      </c>
    </row>
    <row r="288" spans="8:16" x14ac:dyDescent="0.25">
      <c r="I288">
        <v>0</v>
      </c>
      <c r="J288">
        <f>VALUE(MID($M$285,1,1))</f>
        <v>1</v>
      </c>
      <c r="K288">
        <f>VALUE(MID($M$285,2,1))</f>
        <v>9</v>
      </c>
      <c r="L288">
        <f>VALUE(MID($M$285,3,1))</f>
        <v>8</v>
      </c>
      <c r="M288">
        <f>VALUE(MID($M$285,4,1))</f>
        <v>9</v>
      </c>
      <c r="N288">
        <f>VALUE(MID($M$285,5,1))</f>
        <v>0</v>
      </c>
      <c r="O288">
        <f>VALUE(MID($M$285,6,1))</f>
        <v>0</v>
      </c>
      <c r="P288">
        <f>VALUE(MID($M$285,7,1))</f>
        <v>0</v>
      </c>
    </row>
    <row r="289" spans="9:16" x14ac:dyDescent="0.25">
      <c r="I289">
        <v>0</v>
      </c>
      <c r="J289" s="82">
        <f>J287+J288</f>
        <v>11</v>
      </c>
      <c r="K289" s="82">
        <f t="shared" ref="K289:P289" si="110">K287+K288</f>
        <v>29</v>
      </c>
      <c r="L289" s="82">
        <f t="shared" si="110"/>
        <v>38</v>
      </c>
      <c r="M289" s="82">
        <f t="shared" si="110"/>
        <v>49</v>
      </c>
      <c r="N289" s="82">
        <f t="shared" si="110"/>
        <v>50</v>
      </c>
      <c r="O289" s="82">
        <f t="shared" si="110"/>
        <v>60</v>
      </c>
      <c r="P289" s="82">
        <f t="shared" si="110"/>
        <v>70</v>
      </c>
    </row>
    <row r="290" spans="9:16" x14ac:dyDescent="0.25">
      <c r="I290" s="121">
        <f t="shared" ref="I290:P290" si="111">$N$285</f>
        <v>3.8571428571428572</v>
      </c>
      <c r="J290" s="121">
        <f t="shared" si="111"/>
        <v>3.8571428571428572</v>
      </c>
      <c r="K290" s="121">
        <f t="shared" si="111"/>
        <v>3.8571428571428572</v>
      </c>
      <c r="L290" s="121">
        <f t="shared" si="111"/>
        <v>3.8571428571428572</v>
      </c>
      <c r="M290" s="121">
        <f t="shared" si="111"/>
        <v>3.8571428571428572</v>
      </c>
      <c r="N290" s="121">
        <f t="shared" si="111"/>
        <v>3.8571428571428572</v>
      </c>
      <c r="O290" s="121">
        <f t="shared" si="111"/>
        <v>3.8571428571428572</v>
      </c>
      <c r="P290" s="121">
        <f t="shared" si="111"/>
        <v>3.8571428571428572</v>
      </c>
    </row>
    <row r="291" spans="9:16" x14ac:dyDescent="0.25">
      <c r="I291">
        <v>0</v>
      </c>
      <c r="J291" s="121">
        <f>CalculateInt(I289,J289,I288,J288,J290)</f>
        <v>0</v>
      </c>
      <c r="K291" s="121">
        <f t="shared" ref="K291:P291" si="112">CalculateInt(J289,K289,J288,K288,K290)</f>
        <v>17.428571701049805</v>
      </c>
      <c r="L291" s="121">
        <f t="shared" si="112"/>
        <v>0</v>
      </c>
      <c r="M291" s="121">
        <f t="shared" si="112"/>
        <v>0</v>
      </c>
      <c r="N291" s="121">
        <f t="shared" si="112"/>
        <v>49.571430206298828</v>
      </c>
      <c r="O291" s="121">
        <f t="shared" si="112"/>
        <v>0</v>
      </c>
      <c r="P291" s="121">
        <f t="shared" si="112"/>
        <v>0</v>
      </c>
    </row>
    <row r="311" spans="7:33" x14ac:dyDescent="0.25">
      <c r="G311" t="s">
        <v>227</v>
      </c>
      <c r="V311" t="s">
        <v>722</v>
      </c>
    </row>
    <row r="313" spans="7:33" x14ac:dyDescent="0.25">
      <c r="G313" t="s">
        <v>371</v>
      </c>
      <c r="H313" t="s">
        <v>372</v>
      </c>
      <c r="I313" t="s">
        <v>373</v>
      </c>
      <c r="Q313" t="s">
        <v>230</v>
      </c>
      <c r="R313" t="s">
        <v>231</v>
      </c>
      <c r="S313" t="s">
        <v>232</v>
      </c>
      <c r="V313">
        <f>DOB_Year</f>
        <v>1989</v>
      </c>
      <c r="W313">
        <f>DOB_Month</f>
        <v>7</v>
      </c>
      <c r="X313">
        <f>DOB_Day</f>
        <v>26</v>
      </c>
      <c r="Y313">
        <f>V313*W313*X313</f>
        <v>361998</v>
      </c>
      <c r="Z313" t="str">
        <f>CONCATENATE(Y313,Y313)</f>
        <v>361998361998</v>
      </c>
      <c r="AE313" t="s">
        <v>230</v>
      </c>
      <c r="AF313" t="s">
        <v>231</v>
      </c>
      <c r="AG313" t="s">
        <v>232</v>
      </c>
    </row>
    <row r="314" spans="7:33" x14ac:dyDescent="0.25">
      <c r="G314">
        <f>MKist</f>
        <v>41</v>
      </c>
      <c r="H314">
        <f>DOB_Year</f>
        <v>1989</v>
      </c>
      <c r="I314">
        <v>12</v>
      </c>
      <c r="K314">
        <f>G314*H314*I314</f>
        <v>978588</v>
      </c>
      <c r="L314" t="str">
        <f>K314&amp;REPT("0",7-LEN(K314))</f>
        <v>9785880</v>
      </c>
      <c r="Q314">
        <f>DOB_Year</f>
        <v>1989</v>
      </c>
      <c r="R314">
        <v>1</v>
      </c>
      <c r="S314">
        <f>$H$317</f>
        <v>9</v>
      </c>
      <c r="AE314">
        <f>DOB_Year</f>
        <v>1989</v>
      </c>
      <c r="AF314">
        <v>1</v>
      </c>
      <c r="AG314">
        <f>$W$316</f>
        <v>3</v>
      </c>
    </row>
    <row r="315" spans="7:33" x14ac:dyDescent="0.25">
      <c r="Q315">
        <f>Q314+1</f>
        <v>1990</v>
      </c>
      <c r="R315">
        <v>2</v>
      </c>
      <c r="S315">
        <f>$I$317</f>
        <v>7</v>
      </c>
      <c r="V315" t="s">
        <v>228</v>
      </c>
      <c r="W315" s="24">
        <v>1</v>
      </c>
      <c r="X315" s="24">
        <v>2</v>
      </c>
      <c r="Y315" s="24">
        <v>3</v>
      </c>
      <c r="Z315" s="24">
        <v>4</v>
      </c>
      <c r="AA315" s="24">
        <v>5</v>
      </c>
      <c r="AB315" s="24">
        <v>6</v>
      </c>
      <c r="AC315" s="24">
        <v>7</v>
      </c>
      <c r="AE315">
        <f>AE314+1</f>
        <v>1990</v>
      </c>
      <c r="AF315">
        <v>2</v>
      </c>
      <c r="AG315">
        <f>$X$316</f>
        <v>6</v>
      </c>
    </row>
    <row r="316" spans="7:33" x14ac:dyDescent="0.25">
      <c r="G316" t="s">
        <v>228</v>
      </c>
      <c r="H316" s="24">
        <v>1</v>
      </c>
      <c r="I316" s="24">
        <v>2</v>
      </c>
      <c r="J316" s="24">
        <v>3</v>
      </c>
      <c r="K316" s="24">
        <v>4</v>
      </c>
      <c r="L316" s="24">
        <v>5</v>
      </c>
      <c r="M316" s="24">
        <v>6</v>
      </c>
      <c r="N316" s="24">
        <v>7</v>
      </c>
      <c r="Q316">
        <f t="shared" ref="Q316:Q379" si="113">Q315+1</f>
        <v>1991</v>
      </c>
      <c r="R316">
        <v>3</v>
      </c>
      <c r="S316">
        <f>$J$317</f>
        <v>8</v>
      </c>
      <c r="V316" t="s">
        <v>196</v>
      </c>
      <c r="W316">
        <f>VALUE(MID($Z$313,W315,1))</f>
        <v>3</v>
      </c>
      <c r="X316">
        <f t="shared" ref="X316:AC316" si="114">VALUE(MID($Z$313,X315,1))</f>
        <v>6</v>
      </c>
      <c r="Y316">
        <f t="shared" si="114"/>
        <v>1</v>
      </c>
      <c r="Z316">
        <f t="shared" si="114"/>
        <v>9</v>
      </c>
      <c r="AA316">
        <f t="shared" si="114"/>
        <v>9</v>
      </c>
      <c r="AB316">
        <f t="shared" si="114"/>
        <v>8</v>
      </c>
      <c r="AC316">
        <f t="shared" si="114"/>
        <v>3</v>
      </c>
      <c r="AE316">
        <f t="shared" ref="AE316:AE379" si="115">AE315+1</f>
        <v>1991</v>
      </c>
      <c r="AF316">
        <v>3</v>
      </c>
      <c r="AG316">
        <f>$Y$316</f>
        <v>1</v>
      </c>
    </row>
    <row r="317" spans="7:33" x14ac:dyDescent="0.25">
      <c r="G317" t="s">
        <v>196</v>
      </c>
      <c r="H317">
        <f>VALUE(MID($L$314,1,1))</f>
        <v>9</v>
      </c>
      <c r="I317">
        <f>VALUE(MID($L$314,2,1))</f>
        <v>7</v>
      </c>
      <c r="J317">
        <f>VALUE(MID($L$314,3,1))</f>
        <v>8</v>
      </c>
      <c r="K317">
        <f>VALUE(MID($L$314,4,1))</f>
        <v>5</v>
      </c>
      <c r="L317">
        <f>VALUE(MID($L$314,5,1))</f>
        <v>8</v>
      </c>
      <c r="M317">
        <f>VALUE(MID($L$314,6,1))</f>
        <v>8</v>
      </c>
      <c r="N317">
        <f>VALUE(MID($L$314,7,1))</f>
        <v>0</v>
      </c>
      <c r="Q317">
        <f t="shared" si="113"/>
        <v>1992</v>
      </c>
      <c r="R317">
        <v>4</v>
      </c>
      <c r="S317">
        <f>$K$317</f>
        <v>5</v>
      </c>
      <c r="AE317">
        <f t="shared" si="115"/>
        <v>1992</v>
      </c>
      <c r="AF317">
        <v>4</v>
      </c>
      <c r="AG317">
        <f>$Z$316</f>
        <v>9</v>
      </c>
    </row>
    <row r="318" spans="7:33" x14ac:dyDescent="0.25">
      <c r="G318" t="s">
        <v>229</v>
      </c>
      <c r="H318" s="24">
        <v>5</v>
      </c>
      <c r="I318" s="24">
        <v>5</v>
      </c>
      <c r="J318" s="24">
        <v>5</v>
      </c>
      <c r="K318" s="24">
        <v>5</v>
      </c>
      <c r="L318" s="24">
        <v>5</v>
      </c>
      <c r="M318" s="24">
        <v>5</v>
      </c>
      <c r="N318" s="24">
        <v>5</v>
      </c>
      <c r="Q318">
        <f t="shared" si="113"/>
        <v>1993</v>
      </c>
      <c r="R318">
        <v>5</v>
      </c>
      <c r="S318">
        <f>$L$317</f>
        <v>8</v>
      </c>
      <c r="V318" t="s">
        <v>12</v>
      </c>
      <c r="W318" s="24">
        <f ca="1">YEAR(TODAY())</f>
        <v>2022</v>
      </c>
      <c r="X318" s="24">
        <f ca="1">W318+1</f>
        <v>2023</v>
      </c>
      <c r="Y318" s="24">
        <f ca="1">X318+1</f>
        <v>2024</v>
      </c>
      <c r="Z318" s="24">
        <f t="shared" ref="Z318" ca="1" si="116">Y318+1</f>
        <v>2025</v>
      </c>
      <c r="AA318" s="24">
        <f t="shared" ref="AA318" ca="1" si="117">Z318+1</f>
        <v>2026</v>
      </c>
      <c r="AB318" s="24">
        <f t="shared" ref="AB318" ca="1" si="118">AA318+1</f>
        <v>2027</v>
      </c>
      <c r="AC318" s="24">
        <f t="shared" ref="AC318" ca="1" si="119">AB318+1</f>
        <v>2028</v>
      </c>
      <c r="AE318">
        <f t="shared" si="115"/>
        <v>1993</v>
      </c>
      <c r="AF318">
        <v>5</v>
      </c>
      <c r="AG318">
        <f>$AA$316</f>
        <v>9</v>
      </c>
    </row>
    <row r="319" spans="7:33" x14ac:dyDescent="0.25">
      <c r="G319" t="s">
        <v>12</v>
      </c>
      <c r="H319" s="24">
        <f ca="1">YEAR(TODAY())</f>
        <v>2022</v>
      </c>
      <c r="I319" s="24">
        <f ca="1">H319+1</f>
        <v>2023</v>
      </c>
      <c r="J319" s="24">
        <f ca="1">I319+1</f>
        <v>2024</v>
      </c>
      <c r="K319" s="24">
        <f t="shared" ref="K319:N319" ca="1" si="120">J319+1</f>
        <v>2025</v>
      </c>
      <c r="L319" s="24">
        <f t="shared" ca="1" si="120"/>
        <v>2026</v>
      </c>
      <c r="M319" s="24">
        <f t="shared" ca="1" si="120"/>
        <v>2027</v>
      </c>
      <c r="N319" s="24">
        <f t="shared" ca="1" si="120"/>
        <v>2028</v>
      </c>
      <c r="Q319">
        <f t="shared" si="113"/>
        <v>1994</v>
      </c>
      <c r="R319">
        <v>6</v>
      </c>
      <c r="S319">
        <f>$M$317</f>
        <v>8</v>
      </c>
      <c r="V319" t="s">
        <v>228</v>
      </c>
      <c r="W319">
        <f ca="1">VLOOKUP(W318,$AE$314:$AG$432,2,FALSE)</f>
        <v>6</v>
      </c>
      <c r="X319">
        <f t="shared" ref="X319:AC319" ca="1" si="121">VLOOKUP(X318,$AE$314:$AG$432,2,FALSE)</f>
        <v>7</v>
      </c>
      <c r="Y319">
        <f t="shared" ca="1" si="121"/>
        <v>1</v>
      </c>
      <c r="Z319">
        <f t="shared" ca="1" si="121"/>
        <v>2</v>
      </c>
      <c r="AA319">
        <f t="shared" ca="1" si="121"/>
        <v>3</v>
      </c>
      <c r="AB319">
        <f t="shared" ca="1" si="121"/>
        <v>4</v>
      </c>
      <c r="AC319">
        <f t="shared" ca="1" si="121"/>
        <v>5</v>
      </c>
      <c r="AE319">
        <f t="shared" si="115"/>
        <v>1994</v>
      </c>
      <c r="AF319">
        <v>6</v>
      </c>
      <c r="AG319">
        <f>$AB$316</f>
        <v>8</v>
      </c>
    </row>
    <row r="320" spans="7:33" x14ac:dyDescent="0.25">
      <c r="G320" t="s">
        <v>228</v>
      </c>
      <c r="H320">
        <f t="shared" ref="H320:N320" ca="1" si="122">VLOOKUP(H319,$Q$314:$S$432,2,FALSE)</f>
        <v>6</v>
      </c>
      <c r="I320">
        <f t="shared" ca="1" si="122"/>
        <v>7</v>
      </c>
      <c r="J320">
        <f t="shared" ca="1" si="122"/>
        <v>1</v>
      </c>
      <c r="K320">
        <f t="shared" ca="1" si="122"/>
        <v>2</v>
      </c>
      <c r="L320">
        <f t="shared" ca="1" si="122"/>
        <v>3</v>
      </c>
      <c r="M320">
        <f t="shared" ca="1" si="122"/>
        <v>4</v>
      </c>
      <c r="N320">
        <f t="shared" ca="1" si="122"/>
        <v>5</v>
      </c>
      <c r="Q320">
        <f t="shared" si="113"/>
        <v>1995</v>
      </c>
      <c r="R320">
        <v>7</v>
      </c>
      <c r="S320">
        <f>$N$317</f>
        <v>0</v>
      </c>
      <c r="V320" t="s">
        <v>196</v>
      </c>
      <c r="W320">
        <f ca="1">VLOOKUP(W318,$AE$314:$AG$432,3,FALSE)</f>
        <v>8</v>
      </c>
      <c r="X320">
        <f t="shared" ref="X320:AC320" ca="1" si="123">VLOOKUP(X318,$AE$314:$AG$432,3,FALSE)</f>
        <v>3</v>
      </c>
      <c r="Y320">
        <f t="shared" ca="1" si="123"/>
        <v>3</v>
      </c>
      <c r="Z320">
        <f t="shared" ca="1" si="123"/>
        <v>6</v>
      </c>
      <c r="AA320">
        <f t="shared" ca="1" si="123"/>
        <v>1</v>
      </c>
      <c r="AB320">
        <f t="shared" ca="1" si="123"/>
        <v>9</v>
      </c>
      <c r="AC320">
        <f t="shared" ca="1" si="123"/>
        <v>9</v>
      </c>
      <c r="AE320">
        <f t="shared" si="115"/>
        <v>1995</v>
      </c>
      <c r="AF320">
        <v>7</v>
      </c>
      <c r="AG320">
        <f>$AC$316</f>
        <v>3</v>
      </c>
    </row>
    <row r="321" spans="7:33" x14ac:dyDescent="0.25">
      <c r="G321" t="s">
        <v>196</v>
      </c>
      <c r="H321">
        <f t="shared" ref="H321:N321" ca="1" si="124">VLOOKUP(H319,$Q$314:$S$432,3,FALSE)</f>
        <v>8</v>
      </c>
      <c r="I321">
        <f t="shared" ca="1" si="124"/>
        <v>0</v>
      </c>
      <c r="J321">
        <f t="shared" ca="1" si="124"/>
        <v>9</v>
      </c>
      <c r="K321">
        <f t="shared" ca="1" si="124"/>
        <v>7</v>
      </c>
      <c r="L321">
        <f t="shared" ca="1" si="124"/>
        <v>8</v>
      </c>
      <c r="M321">
        <f t="shared" ca="1" si="124"/>
        <v>5</v>
      </c>
      <c r="N321">
        <f t="shared" ca="1" si="124"/>
        <v>8</v>
      </c>
      <c r="Q321">
        <f t="shared" si="113"/>
        <v>1996</v>
      </c>
      <c r="R321">
        <v>1</v>
      </c>
      <c r="S321">
        <f>$H$317</f>
        <v>9</v>
      </c>
      <c r="AE321">
        <f t="shared" si="115"/>
        <v>1996</v>
      </c>
      <c r="AF321">
        <v>1</v>
      </c>
      <c r="AG321">
        <f>$W$316</f>
        <v>3</v>
      </c>
    </row>
    <row r="322" spans="7:33" x14ac:dyDescent="0.25">
      <c r="Q322">
        <f t="shared" si="113"/>
        <v>1997</v>
      </c>
      <c r="R322">
        <v>2</v>
      </c>
      <c r="S322">
        <f>$I$317</f>
        <v>7</v>
      </c>
      <c r="AE322">
        <f t="shared" si="115"/>
        <v>1997</v>
      </c>
      <c r="AF322">
        <v>2</v>
      </c>
      <c r="AG322">
        <f>$X$316</f>
        <v>6</v>
      </c>
    </row>
    <row r="323" spans="7:33" x14ac:dyDescent="0.25">
      <c r="Q323">
        <f t="shared" si="113"/>
        <v>1998</v>
      </c>
      <c r="R323">
        <v>3</v>
      </c>
      <c r="S323">
        <f>$J$317</f>
        <v>8</v>
      </c>
      <c r="AE323">
        <f t="shared" si="115"/>
        <v>1998</v>
      </c>
      <c r="AF323">
        <v>3</v>
      </c>
      <c r="AG323">
        <f>$Y$316</f>
        <v>1</v>
      </c>
    </row>
    <row r="324" spans="7:33" x14ac:dyDescent="0.25">
      <c r="Q324">
        <f t="shared" si="113"/>
        <v>1999</v>
      </c>
      <c r="R324">
        <v>4</v>
      </c>
      <c r="S324">
        <f>$K$317</f>
        <v>5</v>
      </c>
      <c r="AE324">
        <f t="shared" si="115"/>
        <v>1999</v>
      </c>
      <c r="AF324">
        <v>4</v>
      </c>
      <c r="AG324">
        <f>$Z$316</f>
        <v>9</v>
      </c>
    </row>
    <row r="325" spans="7:33" x14ac:dyDescent="0.25">
      <c r="Q325">
        <f t="shared" si="113"/>
        <v>2000</v>
      </c>
      <c r="R325">
        <v>5</v>
      </c>
      <c r="S325">
        <f>$L$317</f>
        <v>8</v>
      </c>
      <c r="AE325">
        <f t="shared" si="115"/>
        <v>2000</v>
      </c>
      <c r="AF325">
        <v>5</v>
      </c>
      <c r="AG325">
        <f>$AA$316</f>
        <v>9</v>
      </c>
    </row>
    <row r="326" spans="7:33" x14ac:dyDescent="0.25">
      <c r="Q326">
        <f t="shared" si="113"/>
        <v>2001</v>
      </c>
      <c r="R326">
        <v>6</v>
      </c>
      <c r="S326">
        <f>$M$317</f>
        <v>8</v>
      </c>
      <c r="AE326">
        <f t="shared" si="115"/>
        <v>2001</v>
      </c>
      <c r="AF326">
        <v>6</v>
      </c>
      <c r="AG326">
        <f>$AB$316</f>
        <v>8</v>
      </c>
    </row>
    <row r="327" spans="7:33" x14ac:dyDescent="0.25">
      <c r="Q327">
        <f t="shared" si="113"/>
        <v>2002</v>
      </c>
      <c r="R327">
        <v>7</v>
      </c>
      <c r="S327">
        <f>$N$317</f>
        <v>0</v>
      </c>
      <c r="AE327">
        <f t="shared" si="115"/>
        <v>2002</v>
      </c>
      <c r="AF327">
        <v>7</v>
      </c>
      <c r="AG327">
        <f>$AC$316</f>
        <v>3</v>
      </c>
    </row>
    <row r="328" spans="7:33" x14ac:dyDescent="0.25">
      <c r="Q328">
        <f t="shared" si="113"/>
        <v>2003</v>
      </c>
      <c r="R328">
        <v>1</v>
      </c>
      <c r="S328">
        <f>$H$317</f>
        <v>9</v>
      </c>
      <c r="AE328">
        <f t="shared" si="115"/>
        <v>2003</v>
      </c>
      <c r="AF328">
        <v>1</v>
      </c>
      <c r="AG328">
        <f>$W$316</f>
        <v>3</v>
      </c>
    </row>
    <row r="329" spans="7:33" x14ac:dyDescent="0.25">
      <c r="Q329">
        <f t="shared" si="113"/>
        <v>2004</v>
      </c>
      <c r="R329">
        <v>2</v>
      </c>
      <c r="S329">
        <f>$I$317</f>
        <v>7</v>
      </c>
      <c r="AE329">
        <f t="shared" si="115"/>
        <v>2004</v>
      </c>
      <c r="AF329">
        <v>2</v>
      </c>
      <c r="AG329">
        <f>$X$316</f>
        <v>6</v>
      </c>
    </row>
    <row r="330" spans="7:33" x14ac:dyDescent="0.25">
      <c r="Q330">
        <f t="shared" si="113"/>
        <v>2005</v>
      </c>
      <c r="R330">
        <v>3</v>
      </c>
      <c r="S330">
        <f>$J$317</f>
        <v>8</v>
      </c>
      <c r="AE330">
        <f t="shared" si="115"/>
        <v>2005</v>
      </c>
      <c r="AF330">
        <v>3</v>
      </c>
      <c r="AG330">
        <f>$Y$316</f>
        <v>1</v>
      </c>
    </row>
    <row r="331" spans="7:33" x14ac:dyDescent="0.25">
      <c r="Q331">
        <f t="shared" si="113"/>
        <v>2006</v>
      </c>
      <c r="R331">
        <v>4</v>
      </c>
      <c r="S331">
        <f>$K$317</f>
        <v>5</v>
      </c>
      <c r="AE331">
        <f t="shared" si="115"/>
        <v>2006</v>
      </c>
      <c r="AF331">
        <v>4</v>
      </c>
      <c r="AG331">
        <f>$Z$316</f>
        <v>9</v>
      </c>
    </row>
    <row r="332" spans="7:33" x14ac:dyDescent="0.25">
      <c r="Q332">
        <f t="shared" si="113"/>
        <v>2007</v>
      </c>
      <c r="R332">
        <v>5</v>
      </c>
      <c r="S332">
        <f>$L$317</f>
        <v>8</v>
      </c>
      <c r="AE332">
        <f t="shared" si="115"/>
        <v>2007</v>
      </c>
      <c r="AF332">
        <v>5</v>
      </c>
      <c r="AG332">
        <f>$AA$316</f>
        <v>9</v>
      </c>
    </row>
    <row r="333" spans="7:33" x14ac:dyDescent="0.25">
      <c r="Q333">
        <f t="shared" si="113"/>
        <v>2008</v>
      </c>
      <c r="R333">
        <v>6</v>
      </c>
      <c r="S333">
        <f>$M$317</f>
        <v>8</v>
      </c>
      <c r="AE333">
        <f t="shared" si="115"/>
        <v>2008</v>
      </c>
      <c r="AF333">
        <v>6</v>
      </c>
      <c r="AG333">
        <f>$AB$316</f>
        <v>8</v>
      </c>
    </row>
    <row r="334" spans="7:33" x14ac:dyDescent="0.25">
      <c r="Q334">
        <f t="shared" si="113"/>
        <v>2009</v>
      </c>
      <c r="R334">
        <v>7</v>
      </c>
      <c r="S334">
        <f>$N$317</f>
        <v>0</v>
      </c>
      <c r="AE334">
        <f t="shared" si="115"/>
        <v>2009</v>
      </c>
      <c r="AF334">
        <v>7</v>
      </c>
      <c r="AG334">
        <f>$AC$316</f>
        <v>3</v>
      </c>
    </row>
    <row r="335" spans="7:33" x14ac:dyDescent="0.25">
      <c r="Q335">
        <f t="shared" si="113"/>
        <v>2010</v>
      </c>
      <c r="R335">
        <v>1</v>
      </c>
      <c r="S335">
        <f>$H$317</f>
        <v>9</v>
      </c>
      <c r="AE335">
        <f t="shared" si="115"/>
        <v>2010</v>
      </c>
      <c r="AF335">
        <v>1</v>
      </c>
      <c r="AG335">
        <f>$W$316</f>
        <v>3</v>
      </c>
    </row>
    <row r="336" spans="7:33" x14ac:dyDescent="0.25">
      <c r="Q336">
        <f t="shared" si="113"/>
        <v>2011</v>
      </c>
      <c r="R336">
        <v>2</v>
      </c>
      <c r="S336">
        <f>$I$317</f>
        <v>7</v>
      </c>
      <c r="AE336">
        <f t="shared" si="115"/>
        <v>2011</v>
      </c>
      <c r="AF336">
        <v>2</v>
      </c>
      <c r="AG336">
        <f>$X$316</f>
        <v>6</v>
      </c>
    </row>
    <row r="337" spans="17:33" x14ac:dyDescent="0.25">
      <c r="Q337">
        <f t="shared" si="113"/>
        <v>2012</v>
      </c>
      <c r="R337">
        <v>3</v>
      </c>
      <c r="S337">
        <f>$J$317</f>
        <v>8</v>
      </c>
      <c r="AE337">
        <f t="shared" si="115"/>
        <v>2012</v>
      </c>
      <c r="AF337">
        <v>3</v>
      </c>
      <c r="AG337">
        <f>$Y$316</f>
        <v>1</v>
      </c>
    </row>
    <row r="338" spans="17:33" x14ac:dyDescent="0.25">
      <c r="Q338">
        <f t="shared" si="113"/>
        <v>2013</v>
      </c>
      <c r="R338">
        <v>4</v>
      </c>
      <c r="S338">
        <f>$K$317</f>
        <v>5</v>
      </c>
      <c r="AE338">
        <f t="shared" si="115"/>
        <v>2013</v>
      </c>
      <c r="AF338">
        <v>4</v>
      </c>
      <c r="AG338">
        <f>$Z$316</f>
        <v>9</v>
      </c>
    </row>
    <row r="339" spans="17:33" x14ac:dyDescent="0.25">
      <c r="Q339">
        <f t="shared" si="113"/>
        <v>2014</v>
      </c>
      <c r="R339">
        <v>5</v>
      </c>
      <c r="S339">
        <f>$L$317</f>
        <v>8</v>
      </c>
      <c r="AE339">
        <f t="shared" si="115"/>
        <v>2014</v>
      </c>
      <c r="AF339">
        <v>5</v>
      </c>
      <c r="AG339">
        <f>$AA$316</f>
        <v>9</v>
      </c>
    </row>
    <row r="340" spans="17:33" x14ac:dyDescent="0.25">
      <c r="Q340">
        <f t="shared" si="113"/>
        <v>2015</v>
      </c>
      <c r="R340">
        <v>6</v>
      </c>
      <c r="S340">
        <f>$M$317</f>
        <v>8</v>
      </c>
      <c r="AE340">
        <f t="shared" si="115"/>
        <v>2015</v>
      </c>
      <c r="AF340">
        <v>6</v>
      </c>
      <c r="AG340">
        <f>$AB$316</f>
        <v>8</v>
      </c>
    </row>
    <row r="341" spans="17:33" x14ac:dyDescent="0.25">
      <c r="Q341">
        <f t="shared" si="113"/>
        <v>2016</v>
      </c>
      <c r="R341">
        <v>7</v>
      </c>
      <c r="S341">
        <f>$N$317</f>
        <v>0</v>
      </c>
      <c r="AE341">
        <f t="shared" si="115"/>
        <v>2016</v>
      </c>
      <c r="AF341">
        <v>7</v>
      </c>
      <c r="AG341">
        <f>$AC$316</f>
        <v>3</v>
      </c>
    </row>
    <row r="342" spans="17:33" x14ac:dyDescent="0.25">
      <c r="Q342">
        <f t="shared" si="113"/>
        <v>2017</v>
      </c>
      <c r="R342">
        <v>1</v>
      </c>
      <c r="S342">
        <f>$H$317</f>
        <v>9</v>
      </c>
      <c r="AE342">
        <f t="shared" si="115"/>
        <v>2017</v>
      </c>
      <c r="AF342">
        <v>1</v>
      </c>
      <c r="AG342">
        <f>$W$316</f>
        <v>3</v>
      </c>
    </row>
    <row r="343" spans="17:33" x14ac:dyDescent="0.25">
      <c r="Q343">
        <f t="shared" si="113"/>
        <v>2018</v>
      </c>
      <c r="R343">
        <v>2</v>
      </c>
      <c r="S343">
        <f>$I$317</f>
        <v>7</v>
      </c>
      <c r="AE343">
        <f t="shared" si="115"/>
        <v>2018</v>
      </c>
      <c r="AF343">
        <v>2</v>
      </c>
      <c r="AG343">
        <f>$X$316</f>
        <v>6</v>
      </c>
    </row>
    <row r="344" spans="17:33" x14ac:dyDescent="0.25">
      <c r="Q344">
        <f t="shared" si="113"/>
        <v>2019</v>
      </c>
      <c r="R344">
        <v>3</v>
      </c>
      <c r="S344">
        <f>$J$317</f>
        <v>8</v>
      </c>
      <c r="AE344">
        <f t="shared" si="115"/>
        <v>2019</v>
      </c>
      <c r="AF344">
        <v>3</v>
      </c>
      <c r="AG344">
        <f>$Y$316</f>
        <v>1</v>
      </c>
    </row>
    <row r="345" spans="17:33" x14ac:dyDescent="0.25">
      <c r="Q345">
        <f t="shared" si="113"/>
        <v>2020</v>
      </c>
      <c r="R345">
        <v>4</v>
      </c>
      <c r="S345">
        <f>$K$317</f>
        <v>5</v>
      </c>
      <c r="AE345">
        <f t="shared" si="115"/>
        <v>2020</v>
      </c>
      <c r="AF345">
        <v>4</v>
      </c>
      <c r="AG345">
        <f>$Z$316</f>
        <v>9</v>
      </c>
    </row>
    <row r="346" spans="17:33" x14ac:dyDescent="0.25">
      <c r="Q346">
        <f t="shared" si="113"/>
        <v>2021</v>
      </c>
      <c r="R346">
        <v>5</v>
      </c>
      <c r="S346">
        <f>$L$317</f>
        <v>8</v>
      </c>
      <c r="AE346">
        <f t="shared" si="115"/>
        <v>2021</v>
      </c>
      <c r="AF346">
        <v>5</v>
      </c>
      <c r="AG346">
        <f>$AA$316</f>
        <v>9</v>
      </c>
    </row>
    <row r="347" spans="17:33" x14ac:dyDescent="0.25">
      <c r="Q347">
        <f t="shared" si="113"/>
        <v>2022</v>
      </c>
      <c r="R347">
        <v>6</v>
      </c>
      <c r="S347">
        <f>$M$317</f>
        <v>8</v>
      </c>
      <c r="AE347">
        <f t="shared" si="115"/>
        <v>2022</v>
      </c>
      <c r="AF347">
        <v>6</v>
      </c>
      <c r="AG347">
        <f>$AB$316</f>
        <v>8</v>
      </c>
    </row>
    <row r="348" spans="17:33" x14ac:dyDescent="0.25">
      <c r="Q348">
        <f t="shared" si="113"/>
        <v>2023</v>
      </c>
      <c r="R348">
        <v>7</v>
      </c>
      <c r="S348">
        <f>$N$317</f>
        <v>0</v>
      </c>
      <c r="AE348">
        <f t="shared" si="115"/>
        <v>2023</v>
      </c>
      <c r="AF348">
        <v>7</v>
      </c>
      <c r="AG348">
        <f>$AC$316</f>
        <v>3</v>
      </c>
    </row>
    <row r="349" spans="17:33" x14ac:dyDescent="0.25">
      <c r="Q349">
        <f t="shared" si="113"/>
        <v>2024</v>
      </c>
      <c r="R349">
        <v>1</v>
      </c>
      <c r="S349">
        <f>$H$317</f>
        <v>9</v>
      </c>
      <c r="AE349">
        <f t="shared" si="115"/>
        <v>2024</v>
      </c>
      <c r="AF349">
        <v>1</v>
      </c>
      <c r="AG349">
        <f>$W$316</f>
        <v>3</v>
      </c>
    </row>
    <row r="350" spans="17:33" x14ac:dyDescent="0.25">
      <c r="Q350">
        <f t="shared" si="113"/>
        <v>2025</v>
      </c>
      <c r="R350">
        <v>2</v>
      </c>
      <c r="S350">
        <f>$I$317</f>
        <v>7</v>
      </c>
      <c r="AE350">
        <f t="shared" si="115"/>
        <v>2025</v>
      </c>
      <c r="AF350">
        <v>2</v>
      </c>
      <c r="AG350">
        <f>$X$316</f>
        <v>6</v>
      </c>
    </row>
    <row r="351" spans="17:33" x14ac:dyDescent="0.25">
      <c r="Q351">
        <f t="shared" si="113"/>
        <v>2026</v>
      </c>
      <c r="R351">
        <v>3</v>
      </c>
      <c r="S351">
        <f>$J$317</f>
        <v>8</v>
      </c>
      <c r="AE351">
        <f t="shared" si="115"/>
        <v>2026</v>
      </c>
      <c r="AF351">
        <v>3</v>
      </c>
      <c r="AG351">
        <f>$Y$316</f>
        <v>1</v>
      </c>
    </row>
    <row r="352" spans="17:33" x14ac:dyDescent="0.25">
      <c r="Q352">
        <f t="shared" si="113"/>
        <v>2027</v>
      </c>
      <c r="R352">
        <v>4</v>
      </c>
      <c r="S352">
        <f>$K$317</f>
        <v>5</v>
      </c>
      <c r="AE352">
        <f t="shared" si="115"/>
        <v>2027</v>
      </c>
      <c r="AF352">
        <v>4</v>
      </c>
      <c r="AG352">
        <f>$Z$316</f>
        <v>9</v>
      </c>
    </row>
    <row r="353" spans="17:33" x14ac:dyDescent="0.25">
      <c r="Q353">
        <f t="shared" si="113"/>
        <v>2028</v>
      </c>
      <c r="R353">
        <v>5</v>
      </c>
      <c r="S353">
        <f>$L$317</f>
        <v>8</v>
      </c>
      <c r="AE353">
        <f t="shared" si="115"/>
        <v>2028</v>
      </c>
      <c r="AF353">
        <v>5</v>
      </c>
      <c r="AG353">
        <f>$AA$316</f>
        <v>9</v>
      </c>
    </row>
    <row r="354" spans="17:33" x14ac:dyDescent="0.25">
      <c r="Q354">
        <f t="shared" si="113"/>
        <v>2029</v>
      </c>
      <c r="R354">
        <v>6</v>
      </c>
      <c r="S354">
        <f>$M$317</f>
        <v>8</v>
      </c>
      <c r="AE354">
        <f t="shared" si="115"/>
        <v>2029</v>
      </c>
      <c r="AF354">
        <v>6</v>
      </c>
      <c r="AG354">
        <f>$AB$316</f>
        <v>8</v>
      </c>
    </row>
    <row r="355" spans="17:33" x14ac:dyDescent="0.25">
      <c r="Q355">
        <f t="shared" si="113"/>
        <v>2030</v>
      </c>
      <c r="R355">
        <v>7</v>
      </c>
      <c r="S355">
        <f>$N$317</f>
        <v>0</v>
      </c>
      <c r="AE355">
        <f t="shared" si="115"/>
        <v>2030</v>
      </c>
      <c r="AF355">
        <v>7</v>
      </c>
      <c r="AG355">
        <f>$AC$316</f>
        <v>3</v>
      </c>
    </row>
    <row r="356" spans="17:33" x14ac:dyDescent="0.25">
      <c r="Q356">
        <f t="shared" si="113"/>
        <v>2031</v>
      </c>
      <c r="R356">
        <v>1</v>
      </c>
      <c r="S356">
        <f>$H$317</f>
        <v>9</v>
      </c>
      <c r="AE356">
        <f t="shared" si="115"/>
        <v>2031</v>
      </c>
      <c r="AF356">
        <v>1</v>
      </c>
      <c r="AG356">
        <f>$W$316</f>
        <v>3</v>
      </c>
    </row>
    <row r="357" spans="17:33" x14ac:dyDescent="0.25">
      <c r="Q357">
        <f t="shared" si="113"/>
        <v>2032</v>
      </c>
      <c r="R357">
        <v>2</v>
      </c>
      <c r="S357">
        <f>$I$317</f>
        <v>7</v>
      </c>
      <c r="AE357">
        <f t="shared" si="115"/>
        <v>2032</v>
      </c>
      <c r="AF357">
        <v>2</v>
      </c>
      <c r="AG357">
        <f>$X$316</f>
        <v>6</v>
      </c>
    </row>
    <row r="358" spans="17:33" x14ac:dyDescent="0.25">
      <c r="Q358">
        <f t="shared" si="113"/>
        <v>2033</v>
      </c>
      <c r="R358">
        <v>3</v>
      </c>
      <c r="S358">
        <f>$J$317</f>
        <v>8</v>
      </c>
      <c r="AE358">
        <f t="shared" si="115"/>
        <v>2033</v>
      </c>
      <c r="AF358">
        <v>3</v>
      </c>
      <c r="AG358">
        <f>$Y$316</f>
        <v>1</v>
      </c>
    </row>
    <row r="359" spans="17:33" x14ac:dyDescent="0.25">
      <c r="Q359">
        <f t="shared" si="113"/>
        <v>2034</v>
      </c>
      <c r="R359">
        <v>4</v>
      </c>
      <c r="S359">
        <f>$K$317</f>
        <v>5</v>
      </c>
      <c r="AE359">
        <f t="shared" si="115"/>
        <v>2034</v>
      </c>
      <c r="AF359">
        <v>4</v>
      </c>
      <c r="AG359">
        <f>$Z$316</f>
        <v>9</v>
      </c>
    </row>
    <row r="360" spans="17:33" x14ac:dyDescent="0.25">
      <c r="Q360">
        <f t="shared" si="113"/>
        <v>2035</v>
      </c>
      <c r="R360">
        <v>5</v>
      </c>
      <c r="S360">
        <f>$L$317</f>
        <v>8</v>
      </c>
      <c r="AE360">
        <f t="shared" si="115"/>
        <v>2035</v>
      </c>
      <c r="AF360">
        <v>5</v>
      </c>
      <c r="AG360">
        <f>$AA$316</f>
        <v>9</v>
      </c>
    </row>
    <row r="361" spans="17:33" x14ac:dyDescent="0.25">
      <c r="Q361">
        <f t="shared" si="113"/>
        <v>2036</v>
      </c>
      <c r="R361">
        <v>6</v>
      </c>
      <c r="S361">
        <f>$M$317</f>
        <v>8</v>
      </c>
      <c r="AE361">
        <f t="shared" si="115"/>
        <v>2036</v>
      </c>
      <c r="AF361">
        <v>6</v>
      </c>
      <c r="AG361">
        <f>$AB$316</f>
        <v>8</v>
      </c>
    </row>
    <row r="362" spans="17:33" x14ac:dyDescent="0.25">
      <c r="Q362">
        <f t="shared" si="113"/>
        <v>2037</v>
      </c>
      <c r="R362">
        <v>7</v>
      </c>
      <c r="S362">
        <f>$N$317</f>
        <v>0</v>
      </c>
      <c r="AE362">
        <f t="shared" si="115"/>
        <v>2037</v>
      </c>
      <c r="AF362">
        <v>7</v>
      </c>
      <c r="AG362">
        <f>$AC$316</f>
        <v>3</v>
      </c>
    </row>
    <row r="363" spans="17:33" x14ac:dyDescent="0.25">
      <c r="Q363">
        <f t="shared" si="113"/>
        <v>2038</v>
      </c>
      <c r="R363">
        <v>1</v>
      </c>
      <c r="S363">
        <f>$H$317</f>
        <v>9</v>
      </c>
      <c r="AE363">
        <f t="shared" si="115"/>
        <v>2038</v>
      </c>
      <c r="AF363">
        <v>1</v>
      </c>
      <c r="AG363">
        <f>$W$316</f>
        <v>3</v>
      </c>
    </row>
    <row r="364" spans="17:33" x14ac:dyDescent="0.25">
      <c r="Q364">
        <f t="shared" si="113"/>
        <v>2039</v>
      </c>
      <c r="R364">
        <v>2</v>
      </c>
      <c r="S364">
        <f>$I$317</f>
        <v>7</v>
      </c>
      <c r="AE364">
        <f t="shared" si="115"/>
        <v>2039</v>
      </c>
      <c r="AF364">
        <v>2</v>
      </c>
      <c r="AG364">
        <f>$X$316</f>
        <v>6</v>
      </c>
    </row>
    <row r="365" spans="17:33" x14ac:dyDescent="0.25">
      <c r="Q365">
        <f t="shared" si="113"/>
        <v>2040</v>
      </c>
      <c r="R365">
        <v>3</v>
      </c>
      <c r="S365">
        <f>$J$317</f>
        <v>8</v>
      </c>
      <c r="AE365">
        <f t="shared" si="115"/>
        <v>2040</v>
      </c>
      <c r="AF365">
        <v>3</v>
      </c>
      <c r="AG365">
        <f>$Y$316</f>
        <v>1</v>
      </c>
    </row>
    <row r="366" spans="17:33" x14ac:dyDescent="0.25">
      <c r="Q366">
        <f t="shared" si="113"/>
        <v>2041</v>
      </c>
      <c r="R366">
        <v>4</v>
      </c>
      <c r="S366">
        <f>$K$317</f>
        <v>5</v>
      </c>
      <c r="AE366">
        <f t="shared" si="115"/>
        <v>2041</v>
      </c>
      <c r="AF366">
        <v>4</v>
      </c>
      <c r="AG366">
        <f>$Z$316</f>
        <v>9</v>
      </c>
    </row>
    <row r="367" spans="17:33" x14ac:dyDescent="0.25">
      <c r="Q367">
        <f t="shared" si="113"/>
        <v>2042</v>
      </c>
      <c r="R367">
        <v>5</v>
      </c>
      <c r="S367">
        <f>$L$317</f>
        <v>8</v>
      </c>
      <c r="AE367">
        <f t="shared" si="115"/>
        <v>2042</v>
      </c>
      <c r="AF367">
        <v>5</v>
      </c>
      <c r="AG367">
        <f>$AA$316</f>
        <v>9</v>
      </c>
    </row>
    <row r="368" spans="17:33" x14ac:dyDescent="0.25">
      <c r="Q368">
        <f t="shared" si="113"/>
        <v>2043</v>
      </c>
      <c r="R368">
        <v>6</v>
      </c>
      <c r="S368">
        <f>$M$317</f>
        <v>8</v>
      </c>
      <c r="AE368">
        <f t="shared" si="115"/>
        <v>2043</v>
      </c>
      <c r="AF368">
        <v>6</v>
      </c>
      <c r="AG368">
        <f>$AB$316</f>
        <v>8</v>
      </c>
    </row>
    <row r="369" spans="17:33" x14ac:dyDescent="0.25">
      <c r="Q369">
        <f t="shared" si="113"/>
        <v>2044</v>
      </c>
      <c r="R369">
        <v>7</v>
      </c>
      <c r="S369">
        <f>$N$317</f>
        <v>0</v>
      </c>
      <c r="AE369">
        <f t="shared" si="115"/>
        <v>2044</v>
      </c>
      <c r="AF369">
        <v>7</v>
      </c>
      <c r="AG369">
        <f>$AC$316</f>
        <v>3</v>
      </c>
    </row>
    <row r="370" spans="17:33" x14ac:dyDescent="0.25">
      <c r="Q370">
        <f t="shared" si="113"/>
        <v>2045</v>
      </c>
      <c r="R370">
        <v>1</v>
      </c>
      <c r="S370">
        <f>$H$317</f>
        <v>9</v>
      </c>
      <c r="AE370">
        <f t="shared" si="115"/>
        <v>2045</v>
      </c>
      <c r="AF370">
        <v>1</v>
      </c>
      <c r="AG370">
        <f>$W$316</f>
        <v>3</v>
      </c>
    </row>
    <row r="371" spans="17:33" x14ac:dyDescent="0.25">
      <c r="Q371">
        <f t="shared" si="113"/>
        <v>2046</v>
      </c>
      <c r="R371">
        <v>2</v>
      </c>
      <c r="S371">
        <f>$I$317</f>
        <v>7</v>
      </c>
      <c r="AE371">
        <f t="shared" si="115"/>
        <v>2046</v>
      </c>
      <c r="AF371">
        <v>2</v>
      </c>
      <c r="AG371">
        <f>$X$316</f>
        <v>6</v>
      </c>
    </row>
    <row r="372" spans="17:33" x14ac:dyDescent="0.25">
      <c r="Q372">
        <f t="shared" si="113"/>
        <v>2047</v>
      </c>
      <c r="R372">
        <v>3</v>
      </c>
      <c r="S372">
        <f>$J$317</f>
        <v>8</v>
      </c>
      <c r="AE372">
        <f t="shared" si="115"/>
        <v>2047</v>
      </c>
      <c r="AF372">
        <v>3</v>
      </c>
      <c r="AG372">
        <f>$Y$316</f>
        <v>1</v>
      </c>
    </row>
    <row r="373" spans="17:33" x14ac:dyDescent="0.25">
      <c r="Q373">
        <f t="shared" si="113"/>
        <v>2048</v>
      </c>
      <c r="R373">
        <v>4</v>
      </c>
      <c r="S373">
        <f>$K$317</f>
        <v>5</v>
      </c>
      <c r="AE373">
        <f t="shared" si="115"/>
        <v>2048</v>
      </c>
      <c r="AF373">
        <v>4</v>
      </c>
      <c r="AG373">
        <f>$Z$316</f>
        <v>9</v>
      </c>
    </row>
    <row r="374" spans="17:33" x14ac:dyDescent="0.25">
      <c r="Q374">
        <f t="shared" si="113"/>
        <v>2049</v>
      </c>
      <c r="R374">
        <v>5</v>
      </c>
      <c r="S374">
        <f>$L$317</f>
        <v>8</v>
      </c>
      <c r="AE374">
        <f t="shared" si="115"/>
        <v>2049</v>
      </c>
      <c r="AF374">
        <v>5</v>
      </c>
      <c r="AG374">
        <f>$AA$316</f>
        <v>9</v>
      </c>
    </row>
    <row r="375" spans="17:33" x14ac:dyDescent="0.25">
      <c r="Q375">
        <f t="shared" si="113"/>
        <v>2050</v>
      </c>
      <c r="R375">
        <v>6</v>
      </c>
      <c r="S375">
        <f>$M$317</f>
        <v>8</v>
      </c>
      <c r="AE375">
        <f t="shared" si="115"/>
        <v>2050</v>
      </c>
      <c r="AF375">
        <v>6</v>
      </c>
      <c r="AG375">
        <f>$AB$316</f>
        <v>8</v>
      </c>
    </row>
    <row r="376" spans="17:33" x14ac:dyDescent="0.25">
      <c r="Q376">
        <f t="shared" si="113"/>
        <v>2051</v>
      </c>
      <c r="R376">
        <v>7</v>
      </c>
      <c r="S376">
        <f>$N$317</f>
        <v>0</v>
      </c>
      <c r="AE376">
        <f t="shared" si="115"/>
        <v>2051</v>
      </c>
      <c r="AF376">
        <v>7</v>
      </c>
      <c r="AG376">
        <f>$AC$316</f>
        <v>3</v>
      </c>
    </row>
    <row r="377" spans="17:33" x14ac:dyDescent="0.25">
      <c r="Q377">
        <f t="shared" si="113"/>
        <v>2052</v>
      </c>
      <c r="R377">
        <v>1</v>
      </c>
      <c r="S377">
        <f>$H$317</f>
        <v>9</v>
      </c>
      <c r="AE377">
        <f t="shared" si="115"/>
        <v>2052</v>
      </c>
      <c r="AF377">
        <v>1</v>
      </c>
      <c r="AG377">
        <f>$W$316</f>
        <v>3</v>
      </c>
    </row>
    <row r="378" spans="17:33" x14ac:dyDescent="0.25">
      <c r="Q378">
        <f t="shared" si="113"/>
        <v>2053</v>
      </c>
      <c r="R378">
        <v>2</v>
      </c>
      <c r="S378">
        <f>$I$317</f>
        <v>7</v>
      </c>
      <c r="AE378">
        <f t="shared" si="115"/>
        <v>2053</v>
      </c>
      <c r="AF378">
        <v>2</v>
      </c>
      <c r="AG378">
        <f>$X$316</f>
        <v>6</v>
      </c>
    </row>
    <row r="379" spans="17:33" x14ac:dyDescent="0.25">
      <c r="Q379">
        <f t="shared" si="113"/>
        <v>2054</v>
      </c>
      <c r="R379">
        <v>3</v>
      </c>
      <c r="S379">
        <f>$J$317</f>
        <v>8</v>
      </c>
      <c r="AE379">
        <f t="shared" si="115"/>
        <v>2054</v>
      </c>
      <c r="AF379">
        <v>3</v>
      </c>
      <c r="AG379">
        <f>$Y$316</f>
        <v>1</v>
      </c>
    </row>
    <row r="380" spans="17:33" x14ac:dyDescent="0.25">
      <c r="Q380">
        <f t="shared" ref="Q380:Q432" si="125">Q379+1</f>
        <v>2055</v>
      </c>
      <c r="R380">
        <v>4</v>
      </c>
      <c r="S380">
        <f>$K$317</f>
        <v>5</v>
      </c>
      <c r="AE380">
        <f t="shared" ref="AE380:AE432" si="126">AE379+1</f>
        <v>2055</v>
      </c>
      <c r="AF380">
        <v>4</v>
      </c>
      <c r="AG380">
        <f>$Z$316</f>
        <v>9</v>
      </c>
    </row>
    <row r="381" spans="17:33" x14ac:dyDescent="0.25">
      <c r="Q381">
        <f t="shared" si="125"/>
        <v>2056</v>
      </c>
      <c r="R381">
        <v>5</v>
      </c>
      <c r="S381">
        <f>$L$317</f>
        <v>8</v>
      </c>
      <c r="AE381">
        <f t="shared" si="126"/>
        <v>2056</v>
      </c>
      <c r="AF381">
        <v>5</v>
      </c>
      <c r="AG381">
        <f>$AA$316</f>
        <v>9</v>
      </c>
    </row>
    <row r="382" spans="17:33" x14ac:dyDescent="0.25">
      <c r="Q382">
        <f t="shared" si="125"/>
        <v>2057</v>
      </c>
      <c r="R382">
        <v>6</v>
      </c>
      <c r="S382">
        <f>$M$317</f>
        <v>8</v>
      </c>
      <c r="AE382">
        <f t="shared" si="126"/>
        <v>2057</v>
      </c>
      <c r="AF382">
        <v>6</v>
      </c>
      <c r="AG382">
        <f>$AB$316</f>
        <v>8</v>
      </c>
    </row>
    <row r="383" spans="17:33" x14ac:dyDescent="0.25">
      <c r="Q383">
        <f t="shared" si="125"/>
        <v>2058</v>
      </c>
      <c r="R383">
        <v>7</v>
      </c>
      <c r="S383">
        <f>$N$317</f>
        <v>0</v>
      </c>
      <c r="AE383">
        <f t="shared" si="126"/>
        <v>2058</v>
      </c>
      <c r="AF383">
        <v>7</v>
      </c>
      <c r="AG383">
        <f>$AC$316</f>
        <v>3</v>
      </c>
    </row>
    <row r="384" spans="17:33" x14ac:dyDescent="0.25">
      <c r="Q384">
        <f t="shared" si="125"/>
        <v>2059</v>
      </c>
      <c r="R384">
        <v>1</v>
      </c>
      <c r="S384">
        <f>$H$317</f>
        <v>9</v>
      </c>
      <c r="AE384">
        <f t="shared" si="126"/>
        <v>2059</v>
      </c>
      <c r="AF384">
        <v>1</v>
      </c>
      <c r="AG384">
        <f>$W$316</f>
        <v>3</v>
      </c>
    </row>
    <row r="385" spans="17:33" x14ac:dyDescent="0.25">
      <c r="Q385">
        <f t="shared" si="125"/>
        <v>2060</v>
      </c>
      <c r="R385">
        <v>2</v>
      </c>
      <c r="S385">
        <f>$I$317</f>
        <v>7</v>
      </c>
      <c r="AE385">
        <f t="shared" si="126"/>
        <v>2060</v>
      </c>
      <c r="AF385">
        <v>2</v>
      </c>
      <c r="AG385">
        <f>$X$316</f>
        <v>6</v>
      </c>
    </row>
    <row r="386" spans="17:33" x14ac:dyDescent="0.25">
      <c r="Q386">
        <f t="shared" si="125"/>
        <v>2061</v>
      </c>
      <c r="R386">
        <v>3</v>
      </c>
      <c r="S386">
        <f>$J$317</f>
        <v>8</v>
      </c>
      <c r="AE386">
        <f t="shared" si="126"/>
        <v>2061</v>
      </c>
      <c r="AF386">
        <v>3</v>
      </c>
      <c r="AG386">
        <f>$Y$316</f>
        <v>1</v>
      </c>
    </row>
    <row r="387" spans="17:33" x14ac:dyDescent="0.25">
      <c r="Q387">
        <f t="shared" si="125"/>
        <v>2062</v>
      </c>
      <c r="R387">
        <v>4</v>
      </c>
      <c r="S387">
        <f>$K$317</f>
        <v>5</v>
      </c>
      <c r="AE387">
        <f t="shared" si="126"/>
        <v>2062</v>
      </c>
      <c r="AF387">
        <v>4</v>
      </c>
      <c r="AG387">
        <f>$Z$316</f>
        <v>9</v>
      </c>
    </row>
    <row r="388" spans="17:33" x14ac:dyDescent="0.25">
      <c r="Q388">
        <f t="shared" si="125"/>
        <v>2063</v>
      </c>
      <c r="R388">
        <v>5</v>
      </c>
      <c r="S388">
        <f>$L$317</f>
        <v>8</v>
      </c>
      <c r="AE388">
        <f t="shared" si="126"/>
        <v>2063</v>
      </c>
      <c r="AF388">
        <v>5</v>
      </c>
      <c r="AG388">
        <f>$AA$316</f>
        <v>9</v>
      </c>
    </row>
    <row r="389" spans="17:33" x14ac:dyDescent="0.25">
      <c r="Q389">
        <f t="shared" si="125"/>
        <v>2064</v>
      </c>
      <c r="R389">
        <v>6</v>
      </c>
      <c r="S389">
        <f>$M$317</f>
        <v>8</v>
      </c>
      <c r="AE389">
        <f t="shared" si="126"/>
        <v>2064</v>
      </c>
      <c r="AF389">
        <v>6</v>
      </c>
      <c r="AG389">
        <f>$AB$316</f>
        <v>8</v>
      </c>
    </row>
    <row r="390" spans="17:33" x14ac:dyDescent="0.25">
      <c r="Q390">
        <f t="shared" si="125"/>
        <v>2065</v>
      </c>
      <c r="R390">
        <v>7</v>
      </c>
      <c r="S390">
        <f>$N$317</f>
        <v>0</v>
      </c>
      <c r="AE390">
        <f t="shared" si="126"/>
        <v>2065</v>
      </c>
      <c r="AF390">
        <v>7</v>
      </c>
      <c r="AG390">
        <f>$AC$316</f>
        <v>3</v>
      </c>
    </row>
    <row r="391" spans="17:33" x14ac:dyDescent="0.25">
      <c r="Q391">
        <f t="shared" si="125"/>
        <v>2066</v>
      </c>
      <c r="R391">
        <v>1</v>
      </c>
      <c r="S391">
        <f>$H$317</f>
        <v>9</v>
      </c>
      <c r="AE391">
        <f t="shared" si="126"/>
        <v>2066</v>
      </c>
      <c r="AF391">
        <v>1</v>
      </c>
      <c r="AG391">
        <f>$W$316</f>
        <v>3</v>
      </c>
    </row>
    <row r="392" spans="17:33" x14ac:dyDescent="0.25">
      <c r="Q392">
        <f t="shared" si="125"/>
        <v>2067</v>
      </c>
      <c r="R392">
        <v>2</v>
      </c>
      <c r="S392">
        <f>$I$317</f>
        <v>7</v>
      </c>
      <c r="AE392">
        <f t="shared" si="126"/>
        <v>2067</v>
      </c>
      <c r="AF392">
        <v>2</v>
      </c>
      <c r="AG392">
        <f>$X$316</f>
        <v>6</v>
      </c>
    </row>
    <row r="393" spans="17:33" x14ac:dyDescent="0.25">
      <c r="Q393">
        <f t="shared" si="125"/>
        <v>2068</v>
      </c>
      <c r="R393">
        <v>3</v>
      </c>
      <c r="S393">
        <f>$J$317</f>
        <v>8</v>
      </c>
      <c r="AE393">
        <f t="shared" si="126"/>
        <v>2068</v>
      </c>
      <c r="AF393">
        <v>3</v>
      </c>
      <c r="AG393">
        <f>$Y$316</f>
        <v>1</v>
      </c>
    </row>
    <row r="394" spans="17:33" x14ac:dyDescent="0.25">
      <c r="Q394">
        <f t="shared" si="125"/>
        <v>2069</v>
      </c>
      <c r="R394">
        <v>4</v>
      </c>
      <c r="S394">
        <f>$K$317</f>
        <v>5</v>
      </c>
      <c r="AE394">
        <f t="shared" si="126"/>
        <v>2069</v>
      </c>
      <c r="AF394">
        <v>4</v>
      </c>
      <c r="AG394">
        <f>$Z$316</f>
        <v>9</v>
      </c>
    </row>
    <row r="395" spans="17:33" x14ac:dyDescent="0.25">
      <c r="Q395">
        <f t="shared" si="125"/>
        <v>2070</v>
      </c>
      <c r="R395">
        <v>5</v>
      </c>
      <c r="S395">
        <f>$L$317</f>
        <v>8</v>
      </c>
      <c r="AE395">
        <f t="shared" si="126"/>
        <v>2070</v>
      </c>
      <c r="AF395">
        <v>5</v>
      </c>
      <c r="AG395">
        <f>$AA$316</f>
        <v>9</v>
      </c>
    </row>
    <row r="396" spans="17:33" x14ac:dyDescent="0.25">
      <c r="Q396">
        <f t="shared" si="125"/>
        <v>2071</v>
      </c>
      <c r="R396">
        <v>6</v>
      </c>
      <c r="S396">
        <f>$M$317</f>
        <v>8</v>
      </c>
      <c r="AE396">
        <f t="shared" si="126"/>
        <v>2071</v>
      </c>
      <c r="AF396">
        <v>6</v>
      </c>
      <c r="AG396">
        <f>$AB$316</f>
        <v>8</v>
      </c>
    </row>
    <row r="397" spans="17:33" x14ac:dyDescent="0.25">
      <c r="Q397">
        <f t="shared" si="125"/>
        <v>2072</v>
      </c>
      <c r="R397">
        <v>7</v>
      </c>
      <c r="S397">
        <f>$N$317</f>
        <v>0</v>
      </c>
      <c r="AE397">
        <f t="shared" si="126"/>
        <v>2072</v>
      </c>
      <c r="AF397">
        <v>7</v>
      </c>
      <c r="AG397">
        <f>$AC$316</f>
        <v>3</v>
      </c>
    </row>
    <row r="398" spans="17:33" x14ac:dyDescent="0.25">
      <c r="Q398">
        <f t="shared" si="125"/>
        <v>2073</v>
      </c>
      <c r="R398">
        <v>1</v>
      </c>
      <c r="S398">
        <f>$H$317</f>
        <v>9</v>
      </c>
      <c r="AE398">
        <f t="shared" si="126"/>
        <v>2073</v>
      </c>
      <c r="AF398">
        <v>1</v>
      </c>
      <c r="AG398">
        <f>$W$316</f>
        <v>3</v>
      </c>
    </row>
    <row r="399" spans="17:33" x14ac:dyDescent="0.25">
      <c r="Q399">
        <f t="shared" si="125"/>
        <v>2074</v>
      </c>
      <c r="R399">
        <v>2</v>
      </c>
      <c r="S399">
        <f>$I$317</f>
        <v>7</v>
      </c>
      <c r="AE399">
        <f t="shared" si="126"/>
        <v>2074</v>
      </c>
      <c r="AF399">
        <v>2</v>
      </c>
      <c r="AG399">
        <f>$X$316</f>
        <v>6</v>
      </c>
    </row>
    <row r="400" spans="17:33" x14ac:dyDescent="0.25">
      <c r="Q400">
        <f t="shared" si="125"/>
        <v>2075</v>
      </c>
      <c r="R400">
        <v>3</v>
      </c>
      <c r="S400">
        <f>$J$317</f>
        <v>8</v>
      </c>
      <c r="AE400">
        <f t="shared" si="126"/>
        <v>2075</v>
      </c>
      <c r="AF400">
        <v>3</v>
      </c>
      <c r="AG400">
        <f>$Y$316</f>
        <v>1</v>
      </c>
    </row>
    <row r="401" spans="17:33" x14ac:dyDescent="0.25">
      <c r="Q401">
        <f t="shared" si="125"/>
        <v>2076</v>
      </c>
      <c r="R401">
        <v>4</v>
      </c>
      <c r="S401">
        <f>$K$317</f>
        <v>5</v>
      </c>
      <c r="AE401">
        <f t="shared" si="126"/>
        <v>2076</v>
      </c>
      <c r="AF401">
        <v>4</v>
      </c>
      <c r="AG401">
        <f>$Z$316</f>
        <v>9</v>
      </c>
    </row>
    <row r="402" spans="17:33" x14ac:dyDescent="0.25">
      <c r="Q402">
        <f t="shared" si="125"/>
        <v>2077</v>
      </c>
      <c r="R402">
        <v>5</v>
      </c>
      <c r="S402">
        <f>$L$317</f>
        <v>8</v>
      </c>
      <c r="AE402">
        <f t="shared" si="126"/>
        <v>2077</v>
      </c>
      <c r="AF402">
        <v>5</v>
      </c>
      <c r="AG402">
        <f>$AA$316</f>
        <v>9</v>
      </c>
    </row>
    <row r="403" spans="17:33" x14ac:dyDescent="0.25">
      <c r="Q403">
        <f t="shared" si="125"/>
        <v>2078</v>
      </c>
      <c r="R403">
        <v>6</v>
      </c>
      <c r="S403">
        <f>$M$317</f>
        <v>8</v>
      </c>
      <c r="AE403">
        <f t="shared" si="126"/>
        <v>2078</v>
      </c>
      <c r="AF403">
        <v>6</v>
      </c>
      <c r="AG403">
        <f>$AB$316</f>
        <v>8</v>
      </c>
    </row>
    <row r="404" spans="17:33" x14ac:dyDescent="0.25">
      <c r="Q404">
        <f t="shared" si="125"/>
        <v>2079</v>
      </c>
      <c r="R404">
        <v>7</v>
      </c>
      <c r="S404">
        <f>$N$317</f>
        <v>0</v>
      </c>
      <c r="AE404">
        <f t="shared" si="126"/>
        <v>2079</v>
      </c>
      <c r="AF404">
        <v>7</v>
      </c>
      <c r="AG404">
        <f>$AC$316</f>
        <v>3</v>
      </c>
    </row>
    <row r="405" spans="17:33" x14ac:dyDescent="0.25">
      <c r="Q405">
        <f t="shared" si="125"/>
        <v>2080</v>
      </c>
      <c r="R405">
        <v>1</v>
      </c>
      <c r="S405">
        <f>$H$317</f>
        <v>9</v>
      </c>
      <c r="AE405">
        <f t="shared" si="126"/>
        <v>2080</v>
      </c>
      <c r="AF405">
        <v>1</v>
      </c>
      <c r="AG405">
        <f>$W$316</f>
        <v>3</v>
      </c>
    </row>
    <row r="406" spans="17:33" x14ac:dyDescent="0.25">
      <c r="Q406">
        <f t="shared" si="125"/>
        <v>2081</v>
      </c>
      <c r="R406">
        <v>2</v>
      </c>
      <c r="S406">
        <f>$I$317</f>
        <v>7</v>
      </c>
      <c r="AE406">
        <f t="shared" si="126"/>
        <v>2081</v>
      </c>
      <c r="AF406">
        <v>2</v>
      </c>
      <c r="AG406">
        <f>$X$316</f>
        <v>6</v>
      </c>
    </row>
    <row r="407" spans="17:33" x14ac:dyDescent="0.25">
      <c r="Q407">
        <f t="shared" si="125"/>
        <v>2082</v>
      </c>
      <c r="R407">
        <v>3</v>
      </c>
      <c r="S407">
        <f>$J$317</f>
        <v>8</v>
      </c>
      <c r="AE407">
        <f t="shared" si="126"/>
        <v>2082</v>
      </c>
      <c r="AF407">
        <v>3</v>
      </c>
      <c r="AG407">
        <f>$Y$316</f>
        <v>1</v>
      </c>
    </row>
    <row r="408" spans="17:33" x14ac:dyDescent="0.25">
      <c r="Q408">
        <f t="shared" si="125"/>
        <v>2083</v>
      </c>
      <c r="R408">
        <v>4</v>
      </c>
      <c r="S408">
        <f>$K$317</f>
        <v>5</v>
      </c>
      <c r="AE408">
        <f t="shared" si="126"/>
        <v>2083</v>
      </c>
      <c r="AF408">
        <v>4</v>
      </c>
      <c r="AG408">
        <f>$Z$316</f>
        <v>9</v>
      </c>
    </row>
    <row r="409" spans="17:33" x14ac:dyDescent="0.25">
      <c r="Q409">
        <f t="shared" si="125"/>
        <v>2084</v>
      </c>
      <c r="R409">
        <v>5</v>
      </c>
      <c r="S409">
        <f>$L$317</f>
        <v>8</v>
      </c>
      <c r="AE409">
        <f t="shared" si="126"/>
        <v>2084</v>
      </c>
      <c r="AF409">
        <v>5</v>
      </c>
      <c r="AG409">
        <f>$AA$316</f>
        <v>9</v>
      </c>
    </row>
    <row r="410" spans="17:33" x14ac:dyDescent="0.25">
      <c r="Q410">
        <f t="shared" si="125"/>
        <v>2085</v>
      </c>
      <c r="R410">
        <v>6</v>
      </c>
      <c r="S410">
        <f>$M$317</f>
        <v>8</v>
      </c>
      <c r="AE410">
        <f t="shared" si="126"/>
        <v>2085</v>
      </c>
      <c r="AF410">
        <v>6</v>
      </c>
      <c r="AG410">
        <f>$AB$316</f>
        <v>8</v>
      </c>
    </row>
    <row r="411" spans="17:33" x14ac:dyDescent="0.25">
      <c r="Q411">
        <f t="shared" si="125"/>
        <v>2086</v>
      </c>
      <c r="R411">
        <v>7</v>
      </c>
      <c r="S411">
        <f>$N$317</f>
        <v>0</v>
      </c>
      <c r="AE411">
        <f t="shared" si="126"/>
        <v>2086</v>
      </c>
      <c r="AF411">
        <v>7</v>
      </c>
      <c r="AG411">
        <f>$AC$316</f>
        <v>3</v>
      </c>
    </row>
    <row r="412" spans="17:33" x14ac:dyDescent="0.25">
      <c r="Q412">
        <f t="shared" si="125"/>
        <v>2087</v>
      </c>
      <c r="R412">
        <v>1</v>
      </c>
      <c r="S412">
        <f>$H$317</f>
        <v>9</v>
      </c>
      <c r="AE412">
        <f t="shared" si="126"/>
        <v>2087</v>
      </c>
      <c r="AF412">
        <v>1</v>
      </c>
      <c r="AG412">
        <f>$W$316</f>
        <v>3</v>
      </c>
    </row>
    <row r="413" spans="17:33" x14ac:dyDescent="0.25">
      <c r="Q413">
        <f t="shared" si="125"/>
        <v>2088</v>
      </c>
      <c r="R413">
        <v>2</v>
      </c>
      <c r="S413">
        <f>$I$317</f>
        <v>7</v>
      </c>
      <c r="AE413">
        <f t="shared" si="126"/>
        <v>2088</v>
      </c>
      <c r="AF413">
        <v>2</v>
      </c>
      <c r="AG413">
        <f>$X$316</f>
        <v>6</v>
      </c>
    </row>
    <row r="414" spans="17:33" x14ac:dyDescent="0.25">
      <c r="Q414">
        <f t="shared" si="125"/>
        <v>2089</v>
      </c>
      <c r="R414">
        <v>3</v>
      </c>
      <c r="S414">
        <f>$J$317</f>
        <v>8</v>
      </c>
      <c r="AE414">
        <f t="shared" si="126"/>
        <v>2089</v>
      </c>
      <c r="AF414">
        <v>3</v>
      </c>
      <c r="AG414">
        <f>$Y$316</f>
        <v>1</v>
      </c>
    </row>
    <row r="415" spans="17:33" x14ac:dyDescent="0.25">
      <c r="Q415">
        <f t="shared" si="125"/>
        <v>2090</v>
      </c>
      <c r="R415">
        <v>4</v>
      </c>
      <c r="S415">
        <f>$K$317</f>
        <v>5</v>
      </c>
      <c r="AE415">
        <f t="shared" si="126"/>
        <v>2090</v>
      </c>
      <c r="AF415">
        <v>4</v>
      </c>
      <c r="AG415">
        <f>$Z$316</f>
        <v>9</v>
      </c>
    </row>
    <row r="416" spans="17:33" x14ac:dyDescent="0.25">
      <c r="Q416">
        <f t="shared" si="125"/>
        <v>2091</v>
      </c>
      <c r="R416">
        <v>5</v>
      </c>
      <c r="S416">
        <f>$L$317</f>
        <v>8</v>
      </c>
      <c r="AE416">
        <f t="shared" si="126"/>
        <v>2091</v>
      </c>
      <c r="AF416">
        <v>5</v>
      </c>
      <c r="AG416">
        <f>$AA$316</f>
        <v>9</v>
      </c>
    </row>
    <row r="417" spans="17:33" x14ac:dyDescent="0.25">
      <c r="Q417">
        <f t="shared" si="125"/>
        <v>2092</v>
      </c>
      <c r="R417">
        <v>6</v>
      </c>
      <c r="S417">
        <f>$M$317</f>
        <v>8</v>
      </c>
      <c r="AE417">
        <f t="shared" si="126"/>
        <v>2092</v>
      </c>
      <c r="AF417">
        <v>6</v>
      </c>
      <c r="AG417">
        <f>$AB$316</f>
        <v>8</v>
      </c>
    </row>
    <row r="418" spans="17:33" x14ac:dyDescent="0.25">
      <c r="Q418">
        <f t="shared" si="125"/>
        <v>2093</v>
      </c>
      <c r="R418">
        <v>7</v>
      </c>
      <c r="S418">
        <f>$N$317</f>
        <v>0</v>
      </c>
      <c r="AE418">
        <f t="shared" si="126"/>
        <v>2093</v>
      </c>
      <c r="AF418">
        <v>7</v>
      </c>
      <c r="AG418">
        <f>$AC$316</f>
        <v>3</v>
      </c>
    </row>
    <row r="419" spans="17:33" x14ac:dyDescent="0.25">
      <c r="Q419">
        <f t="shared" si="125"/>
        <v>2094</v>
      </c>
      <c r="R419">
        <v>1</v>
      </c>
      <c r="S419">
        <f>$H$317</f>
        <v>9</v>
      </c>
      <c r="AE419">
        <f t="shared" si="126"/>
        <v>2094</v>
      </c>
      <c r="AF419">
        <v>1</v>
      </c>
      <c r="AG419">
        <f>$W$316</f>
        <v>3</v>
      </c>
    </row>
    <row r="420" spans="17:33" x14ac:dyDescent="0.25">
      <c r="Q420">
        <f t="shared" si="125"/>
        <v>2095</v>
      </c>
      <c r="R420">
        <v>2</v>
      </c>
      <c r="S420">
        <f>$I$317</f>
        <v>7</v>
      </c>
      <c r="AE420">
        <f t="shared" si="126"/>
        <v>2095</v>
      </c>
      <c r="AF420">
        <v>2</v>
      </c>
      <c r="AG420">
        <f>$X$316</f>
        <v>6</v>
      </c>
    </row>
    <row r="421" spans="17:33" x14ac:dyDescent="0.25">
      <c r="Q421">
        <f t="shared" si="125"/>
        <v>2096</v>
      </c>
      <c r="R421">
        <v>3</v>
      </c>
      <c r="S421">
        <f>$J$317</f>
        <v>8</v>
      </c>
      <c r="AE421">
        <f t="shared" si="126"/>
        <v>2096</v>
      </c>
      <c r="AF421">
        <v>3</v>
      </c>
      <c r="AG421">
        <f>$Y$316</f>
        <v>1</v>
      </c>
    </row>
    <row r="422" spans="17:33" x14ac:dyDescent="0.25">
      <c r="Q422">
        <f t="shared" si="125"/>
        <v>2097</v>
      </c>
      <c r="R422">
        <v>4</v>
      </c>
      <c r="S422">
        <f>$K$317</f>
        <v>5</v>
      </c>
      <c r="AE422">
        <f t="shared" si="126"/>
        <v>2097</v>
      </c>
      <c r="AF422">
        <v>4</v>
      </c>
      <c r="AG422">
        <f>$Z$316</f>
        <v>9</v>
      </c>
    </row>
    <row r="423" spans="17:33" x14ac:dyDescent="0.25">
      <c r="Q423">
        <f t="shared" si="125"/>
        <v>2098</v>
      </c>
      <c r="R423">
        <v>5</v>
      </c>
      <c r="S423">
        <f>$L$317</f>
        <v>8</v>
      </c>
      <c r="AE423">
        <f t="shared" si="126"/>
        <v>2098</v>
      </c>
      <c r="AF423">
        <v>5</v>
      </c>
      <c r="AG423">
        <f>$AA$316</f>
        <v>9</v>
      </c>
    </row>
    <row r="424" spans="17:33" x14ac:dyDescent="0.25">
      <c r="Q424">
        <f t="shared" si="125"/>
        <v>2099</v>
      </c>
      <c r="R424">
        <v>6</v>
      </c>
      <c r="S424">
        <f>$M$317</f>
        <v>8</v>
      </c>
      <c r="AE424">
        <f t="shared" si="126"/>
        <v>2099</v>
      </c>
      <c r="AF424">
        <v>6</v>
      </c>
      <c r="AG424">
        <f>$AB$316</f>
        <v>8</v>
      </c>
    </row>
    <row r="425" spans="17:33" x14ac:dyDescent="0.25">
      <c r="Q425">
        <f t="shared" si="125"/>
        <v>2100</v>
      </c>
      <c r="R425">
        <v>7</v>
      </c>
      <c r="S425">
        <f>$N$317</f>
        <v>0</v>
      </c>
      <c r="AE425">
        <f t="shared" si="126"/>
        <v>2100</v>
      </c>
      <c r="AF425">
        <v>7</v>
      </c>
      <c r="AG425">
        <f>$AC$316</f>
        <v>3</v>
      </c>
    </row>
    <row r="426" spans="17:33" x14ac:dyDescent="0.25">
      <c r="Q426">
        <f t="shared" si="125"/>
        <v>2101</v>
      </c>
      <c r="R426">
        <v>1</v>
      </c>
      <c r="S426">
        <f>$H$317</f>
        <v>9</v>
      </c>
      <c r="AE426">
        <f t="shared" si="126"/>
        <v>2101</v>
      </c>
      <c r="AF426">
        <v>1</v>
      </c>
      <c r="AG426">
        <f>$W$316</f>
        <v>3</v>
      </c>
    </row>
    <row r="427" spans="17:33" x14ac:dyDescent="0.25">
      <c r="Q427">
        <f t="shared" si="125"/>
        <v>2102</v>
      </c>
      <c r="R427">
        <v>2</v>
      </c>
      <c r="S427">
        <f>$I$317</f>
        <v>7</v>
      </c>
      <c r="AE427">
        <f t="shared" si="126"/>
        <v>2102</v>
      </c>
      <c r="AF427">
        <v>2</v>
      </c>
      <c r="AG427">
        <f>$X$316</f>
        <v>6</v>
      </c>
    </row>
    <row r="428" spans="17:33" x14ac:dyDescent="0.25">
      <c r="Q428">
        <f t="shared" si="125"/>
        <v>2103</v>
      </c>
      <c r="R428">
        <v>3</v>
      </c>
      <c r="S428">
        <f>$J$317</f>
        <v>8</v>
      </c>
      <c r="AE428">
        <f t="shared" si="126"/>
        <v>2103</v>
      </c>
      <c r="AF428">
        <v>3</v>
      </c>
      <c r="AG428">
        <f>$Y$316</f>
        <v>1</v>
      </c>
    </row>
    <row r="429" spans="17:33" x14ac:dyDescent="0.25">
      <c r="Q429">
        <f t="shared" si="125"/>
        <v>2104</v>
      </c>
      <c r="R429">
        <v>4</v>
      </c>
      <c r="S429">
        <f>$K$317</f>
        <v>5</v>
      </c>
      <c r="AE429">
        <f t="shared" si="126"/>
        <v>2104</v>
      </c>
      <c r="AF429">
        <v>4</v>
      </c>
      <c r="AG429">
        <f>$Z$316</f>
        <v>9</v>
      </c>
    </row>
    <row r="430" spans="17:33" x14ac:dyDescent="0.25">
      <c r="Q430">
        <f t="shared" si="125"/>
        <v>2105</v>
      </c>
      <c r="R430">
        <v>5</v>
      </c>
      <c r="S430">
        <f>$L$317</f>
        <v>8</v>
      </c>
      <c r="AE430">
        <f t="shared" si="126"/>
        <v>2105</v>
      </c>
      <c r="AF430">
        <v>5</v>
      </c>
      <c r="AG430">
        <f>$AA$316</f>
        <v>9</v>
      </c>
    </row>
    <row r="431" spans="17:33" x14ac:dyDescent="0.25">
      <c r="Q431">
        <f t="shared" si="125"/>
        <v>2106</v>
      </c>
      <c r="R431">
        <v>6</v>
      </c>
      <c r="S431">
        <f>$M$317</f>
        <v>8</v>
      </c>
      <c r="AE431">
        <f t="shared" si="126"/>
        <v>2106</v>
      </c>
      <c r="AF431">
        <v>6</v>
      </c>
      <c r="AG431">
        <f>$AB$316</f>
        <v>8</v>
      </c>
    </row>
    <row r="432" spans="17:33" x14ac:dyDescent="0.25">
      <c r="Q432">
        <f t="shared" si="125"/>
        <v>2107</v>
      </c>
      <c r="R432">
        <v>7</v>
      </c>
      <c r="S432">
        <f>$N$317</f>
        <v>0</v>
      </c>
      <c r="AE432">
        <f t="shared" si="126"/>
        <v>2107</v>
      </c>
      <c r="AF432">
        <v>7</v>
      </c>
      <c r="AG432">
        <f>$AC$316</f>
        <v>3</v>
      </c>
    </row>
  </sheetData>
  <autoFilter ref="BA38:BE60">
    <filterColumn colId="0" showButton="0"/>
    <filterColumn colId="1" showButton="0"/>
  </autoFilter>
  <mergeCells count="212">
    <mergeCell ref="AJ2:AN2"/>
    <mergeCell ref="AH202:AH203"/>
    <mergeCell ref="AH142:AH143"/>
    <mergeCell ref="AH148:AH149"/>
    <mergeCell ref="AH154:AH155"/>
    <mergeCell ref="AH160:AH161"/>
    <mergeCell ref="AH166:AH167"/>
    <mergeCell ref="AH172:AH173"/>
    <mergeCell ref="AH178:AH179"/>
    <mergeCell ref="AH184:AH185"/>
    <mergeCell ref="AH190:AH191"/>
    <mergeCell ref="X2:AH2"/>
    <mergeCell ref="AB3:AC3"/>
    <mergeCell ref="AH100:AH101"/>
    <mergeCell ref="AH106:AH107"/>
    <mergeCell ref="AH112:AH113"/>
    <mergeCell ref="AH118:AH119"/>
    <mergeCell ref="AH124:AH125"/>
    <mergeCell ref="AH130:AH131"/>
    <mergeCell ref="AH136:AH137"/>
    <mergeCell ref="AC10:AD10"/>
    <mergeCell ref="X22:AI22"/>
    <mergeCell ref="W246:AA246"/>
    <mergeCell ref="E62:R62"/>
    <mergeCell ref="AK26:AM26"/>
    <mergeCell ref="Y26:Z26"/>
    <mergeCell ref="Y23:Z23"/>
    <mergeCell ref="AK29:AQ29"/>
    <mergeCell ref="AF44:AH44"/>
    <mergeCell ref="AF50:AH50"/>
    <mergeCell ref="AA26:AB26"/>
    <mergeCell ref="AA23:AB23"/>
    <mergeCell ref="AC23:AD23"/>
    <mergeCell ref="AE23:AF23"/>
    <mergeCell ref="AG23:AH23"/>
    <mergeCell ref="AG26:AH26"/>
    <mergeCell ref="AE26:AF26"/>
    <mergeCell ref="AC26:AD26"/>
    <mergeCell ref="AK25:AM25"/>
    <mergeCell ref="AK27:AM27"/>
    <mergeCell ref="AL24:AM24"/>
    <mergeCell ref="U85:V85"/>
    <mergeCell ref="X61:Y61"/>
    <mergeCell ref="AB72:AD72"/>
    <mergeCell ref="AB75:AD75"/>
    <mergeCell ref="AH196:AH197"/>
    <mergeCell ref="BA39:BC39"/>
    <mergeCell ref="U79:V79"/>
    <mergeCell ref="U80:V80"/>
    <mergeCell ref="U81:V81"/>
    <mergeCell ref="BA54:BC54"/>
    <mergeCell ref="BA55:BC55"/>
    <mergeCell ref="BA56:BC56"/>
    <mergeCell ref="BA57:BC57"/>
    <mergeCell ref="BA58:BC58"/>
    <mergeCell ref="BA49:BC49"/>
    <mergeCell ref="BA50:BC50"/>
    <mergeCell ref="BA51:BC51"/>
    <mergeCell ref="BA52:BC52"/>
    <mergeCell ref="BA53:BC53"/>
    <mergeCell ref="X43:Z43"/>
    <mergeCell ref="AB43:AD43"/>
    <mergeCell ref="AB76:AD76"/>
    <mergeCell ref="AB77:AD77"/>
    <mergeCell ref="BA44:BC44"/>
    <mergeCell ref="BA45:BC45"/>
    <mergeCell ref="BA46:BC46"/>
    <mergeCell ref="BA47:BC47"/>
    <mergeCell ref="BA48:BC48"/>
    <mergeCell ref="X48:Z48"/>
    <mergeCell ref="AX10:AX13"/>
    <mergeCell ref="AV10:AW10"/>
    <mergeCell ref="AV11:AW11"/>
    <mergeCell ref="AR3:AU3"/>
    <mergeCell ref="AV5:AW5"/>
    <mergeCell ref="AQ3:AQ5"/>
    <mergeCell ref="AV3:AX4"/>
    <mergeCell ref="AX6:AX9"/>
    <mergeCell ref="X12:X13"/>
    <mergeCell ref="Y12:Y13"/>
    <mergeCell ref="Z12:Z13"/>
    <mergeCell ref="AA12:AA13"/>
    <mergeCell ref="AC11:AD11"/>
    <mergeCell ref="AC12:AD12"/>
    <mergeCell ref="AV12:AW12"/>
    <mergeCell ref="AV13:AW13"/>
    <mergeCell ref="X11:Y11"/>
    <mergeCell ref="X9:AA9"/>
    <mergeCell ref="AK11:AL11"/>
    <mergeCell ref="AK9:AL9"/>
    <mergeCell ref="AJ3:AK3"/>
    <mergeCell ref="AL3:AM3"/>
    <mergeCell ref="J3:N3"/>
    <mergeCell ref="K23:M23"/>
    <mergeCell ref="K10:M10"/>
    <mergeCell ref="K11:M11"/>
    <mergeCell ref="K12:M12"/>
    <mergeCell ref="L17:L18"/>
    <mergeCell ref="H15:J15"/>
    <mergeCell ref="H16:J16"/>
    <mergeCell ref="H17:J17"/>
    <mergeCell ref="K22:M22"/>
    <mergeCell ref="AV14:AW14"/>
    <mergeCell ref="AV6:AW6"/>
    <mergeCell ref="AV7:AW7"/>
    <mergeCell ref="AV8:AW8"/>
    <mergeCell ref="AV9:AW9"/>
    <mergeCell ref="AV15:AW15"/>
    <mergeCell ref="AV16:AW16"/>
    <mergeCell ref="AM9:AP9"/>
    <mergeCell ref="AU22:AU24"/>
    <mergeCell ref="AV22:AX24"/>
    <mergeCell ref="AV19:AX21"/>
    <mergeCell ref="AU19:AU21"/>
    <mergeCell ref="AV17:AW17"/>
    <mergeCell ref="AV18:AW18"/>
    <mergeCell ref="AX14:AX17"/>
    <mergeCell ref="AS22:AS24"/>
    <mergeCell ref="AT22:AT24"/>
    <mergeCell ref="AQ19:AQ24"/>
    <mergeCell ref="AT19:AT21"/>
    <mergeCell ref="AK18:AM18"/>
    <mergeCell ref="AK22:AM22"/>
    <mergeCell ref="AK19:AM19"/>
    <mergeCell ref="AK20:AM20"/>
    <mergeCell ref="AL23:AM23"/>
    <mergeCell ref="B82:C82"/>
    <mergeCell ref="AK86:AM86"/>
    <mergeCell ref="AK39:AL42"/>
    <mergeCell ref="AK44:AL47"/>
    <mergeCell ref="AK49:AL52"/>
    <mergeCell ref="AK54:AL57"/>
    <mergeCell ref="AK59:AL62"/>
    <mergeCell ref="AK64:AL67"/>
    <mergeCell ref="AK69:AL72"/>
    <mergeCell ref="AK74:AL77"/>
    <mergeCell ref="AK79:AL82"/>
    <mergeCell ref="B81:D81"/>
    <mergeCell ref="U82:V82"/>
    <mergeCell ref="U84:V84"/>
    <mergeCell ref="AB48:AD48"/>
    <mergeCell ref="U104:V104"/>
    <mergeCell ref="U105:V105"/>
    <mergeCell ref="U106:V106"/>
    <mergeCell ref="U108:V108"/>
    <mergeCell ref="U109:V109"/>
    <mergeCell ref="X53:Z53"/>
    <mergeCell ref="AB53:AD53"/>
    <mergeCell ref="X58:Z58"/>
    <mergeCell ref="X68:Z68"/>
    <mergeCell ref="X77:Z77"/>
    <mergeCell ref="X81:Z81"/>
    <mergeCell ref="BA3:BA5"/>
    <mergeCell ref="BB3:BE3"/>
    <mergeCell ref="AB81:AD81"/>
    <mergeCell ref="AB82:AB84"/>
    <mergeCell ref="AB85:AB87"/>
    <mergeCell ref="AB88:AB90"/>
    <mergeCell ref="AC82:AC84"/>
    <mergeCell ref="AC85:AC87"/>
    <mergeCell ref="AC88:AC90"/>
    <mergeCell ref="AD82:AD84"/>
    <mergeCell ref="AD85:AD87"/>
    <mergeCell ref="AD88:AD90"/>
    <mergeCell ref="AK30:AM30"/>
    <mergeCell ref="AO30:AQ30"/>
    <mergeCell ref="AK34:AM34"/>
    <mergeCell ref="AO34:AQ34"/>
    <mergeCell ref="BA40:BC40"/>
    <mergeCell ref="BA41:BC41"/>
    <mergeCell ref="BA42:BC42"/>
    <mergeCell ref="BA43:BC43"/>
    <mergeCell ref="BA59:BC59"/>
    <mergeCell ref="BA60:BC60"/>
    <mergeCell ref="BA38:BC38"/>
    <mergeCell ref="AK10:AL10"/>
    <mergeCell ref="BF3:BH4"/>
    <mergeCell ref="BF5:BG5"/>
    <mergeCell ref="BF6:BG6"/>
    <mergeCell ref="BH6:BH9"/>
    <mergeCell ref="BF7:BG7"/>
    <mergeCell ref="BF8:BG8"/>
    <mergeCell ref="BF9:BG9"/>
    <mergeCell ref="BF10:BG10"/>
    <mergeCell ref="BH10:BH13"/>
    <mergeCell ref="BF11:BG11"/>
    <mergeCell ref="BF12:BG12"/>
    <mergeCell ref="BF13:BG13"/>
    <mergeCell ref="F13:G13"/>
    <mergeCell ref="BF14:BG14"/>
    <mergeCell ref="BH14:BH17"/>
    <mergeCell ref="BF15:BG15"/>
    <mergeCell ref="BF16:BG16"/>
    <mergeCell ref="BF17:BG17"/>
    <mergeCell ref="BF18:BG18"/>
    <mergeCell ref="BA19:BA24"/>
    <mergeCell ref="BB19:BB21"/>
    <mergeCell ref="BC19:BC21"/>
    <mergeCell ref="BD19:BD21"/>
    <mergeCell ref="BE19:BE21"/>
    <mergeCell ref="BF19:BH21"/>
    <mergeCell ref="BB22:BB24"/>
    <mergeCell ref="BC22:BC24"/>
    <mergeCell ref="BD22:BD24"/>
    <mergeCell ref="BE22:BE24"/>
    <mergeCell ref="BF22:BH24"/>
    <mergeCell ref="Q13:R13"/>
    <mergeCell ref="AK12:AL16"/>
    <mergeCell ref="AE15:AF16"/>
    <mergeCell ref="AS19:AS21"/>
    <mergeCell ref="AR19:AR21"/>
    <mergeCell ref="AR22:AR24"/>
  </mergeCells>
  <conditionalFormatting sqref="Z59 AE74:AE78 AE69:AE72">
    <cfRule type="containsText" dxfId="880" priority="63" operator="containsText" text="Да">
      <formula>NOT(ISERROR(SEARCH("Да",Z59)))</formula>
    </cfRule>
  </conditionalFormatting>
  <conditionalFormatting sqref="Z60:Z66">
    <cfRule type="containsText" dxfId="879" priority="62" operator="containsText" text="Да">
      <formula>NOT(ISERROR(SEARCH("Да",Z60)))</formula>
    </cfRule>
  </conditionalFormatting>
  <conditionalFormatting sqref="Z69:Z75">
    <cfRule type="containsText" dxfId="878" priority="61" operator="containsText" text="Да">
      <formula>NOT(ISERROR(SEARCH("Да",Z69)))</formula>
    </cfRule>
  </conditionalFormatting>
  <conditionalFormatting sqref="Z82:Z85">
    <cfRule type="containsText" dxfId="877" priority="60" operator="containsText" text="Да">
      <formula>NOT(ISERROR(SEARCH("Да",Z82)))</formula>
    </cfRule>
  </conditionalFormatting>
  <conditionalFormatting sqref="BE39:BE60">
    <cfRule type="containsText" dxfId="876" priority="59" operator="containsText" text="Да">
      <formula>NOT(ISERROR(SEARCH("Да",BE39)))</formula>
    </cfRule>
  </conditionalFormatting>
  <conditionalFormatting sqref="AE59:AE65">
    <cfRule type="containsText" dxfId="875" priority="58" operator="containsText" text="Да">
      <formula>NOT(ISERROR(SEARCH("Да",AE59)))</formula>
    </cfRule>
  </conditionalFormatting>
  <conditionalFormatting sqref="AE66">
    <cfRule type="containsText" dxfId="874" priority="56" operator="containsText" text="Да">
      <formula>NOT(ISERROR(SEARCH("Да",AE66)))</formula>
    </cfRule>
  </conditionalFormatting>
  <conditionalFormatting sqref="AD5">
    <cfRule type="cellIs" dxfId="873" priority="55" operator="greaterThanOrEqual">
      <formula>1</formula>
    </cfRule>
  </conditionalFormatting>
  <conditionalFormatting sqref="AD6">
    <cfRule type="cellIs" dxfId="872" priority="54" operator="greaterThanOrEqual">
      <formula>1</formula>
    </cfRule>
  </conditionalFormatting>
  <conditionalFormatting sqref="AO19">
    <cfRule type="cellIs" dxfId="871" priority="53" operator="greaterThanOrEqual">
      <formula>1</formula>
    </cfRule>
  </conditionalFormatting>
  <conditionalFormatting sqref="AO20">
    <cfRule type="cellIs" dxfId="870" priority="52" operator="greaterThanOrEqual">
      <formula>1</formula>
    </cfRule>
  </conditionalFormatting>
  <conditionalFormatting sqref="AO23">
    <cfRule type="cellIs" dxfId="869" priority="51" operator="greaterThanOrEqual">
      <formula>1</formula>
    </cfRule>
  </conditionalFormatting>
  <conditionalFormatting sqref="AO24">
    <cfRule type="cellIs" dxfId="868" priority="50" operator="greaterThanOrEqual">
      <formula>1</formula>
    </cfRule>
  </conditionalFormatting>
  <conditionalFormatting sqref="AO25">
    <cfRule type="cellIs" dxfId="867" priority="49" operator="greaterThanOrEqual">
      <formula>1</formula>
    </cfRule>
  </conditionalFormatting>
  <conditionalFormatting sqref="AO27">
    <cfRule type="cellIs" dxfId="866" priority="48" operator="greaterThanOrEqual">
      <formula>1</formula>
    </cfRule>
  </conditionalFormatting>
  <conditionalFormatting sqref="Z24">
    <cfRule type="cellIs" dxfId="865" priority="31" operator="equal">
      <formula>KN_Main</formula>
    </cfRule>
    <cfRule type="cellIs" dxfId="864" priority="32" operator="equal">
      <formula>KN_4</formula>
    </cfRule>
    <cfRule type="cellIs" dxfId="863" priority="33" operator="equal">
      <formula>KN_3</formula>
    </cfRule>
    <cfRule type="cellIs" dxfId="862" priority="34" operator="equal">
      <formula>KN_2</formula>
    </cfRule>
    <cfRule type="cellIs" dxfId="861" priority="35" operator="equal">
      <formula>OPV</formula>
    </cfRule>
    <cfRule type="cellIs" dxfId="860" priority="36" operator="equal">
      <formula>OPV_DOP</formula>
    </cfRule>
  </conditionalFormatting>
  <conditionalFormatting sqref="Y24">
    <cfRule type="cellIs" dxfId="859" priority="25" operator="equal">
      <formula>KN_Main</formula>
    </cfRule>
    <cfRule type="cellIs" dxfId="858" priority="26" operator="equal">
      <formula>KN_4</formula>
    </cfRule>
    <cfRule type="cellIs" dxfId="857" priority="27" operator="equal">
      <formula>KN_3</formula>
    </cfRule>
    <cfRule type="cellIs" dxfId="856" priority="28" operator="equal">
      <formula>KN_2</formula>
    </cfRule>
    <cfRule type="cellIs" dxfId="855" priority="29" operator="equal">
      <formula>OPV</formula>
    </cfRule>
    <cfRule type="cellIs" dxfId="854" priority="30" operator="equal">
      <formula>OPV_DOP</formula>
    </cfRule>
  </conditionalFormatting>
  <conditionalFormatting sqref="AA24">
    <cfRule type="cellIs" dxfId="853" priority="19" operator="equal">
      <formula>KN_Main</formula>
    </cfRule>
    <cfRule type="cellIs" dxfId="852" priority="20" operator="equal">
      <formula>KN_4</formula>
    </cfRule>
    <cfRule type="cellIs" dxfId="851" priority="21" operator="equal">
      <formula>KN_3</formula>
    </cfRule>
    <cfRule type="cellIs" dxfId="850" priority="22" operator="equal">
      <formula>KN_2</formula>
    </cfRule>
    <cfRule type="cellIs" dxfId="849" priority="23" operator="equal">
      <formula>OPV</formula>
    </cfRule>
    <cfRule type="cellIs" dxfId="848" priority="24" operator="equal">
      <formula>OPV_DOP</formula>
    </cfRule>
  </conditionalFormatting>
  <conditionalFormatting sqref="AC24">
    <cfRule type="cellIs" dxfId="847" priority="13" operator="equal">
      <formula>KN_Main</formula>
    </cfRule>
    <cfRule type="cellIs" dxfId="846" priority="14" operator="equal">
      <formula>KN_4</formula>
    </cfRule>
    <cfRule type="cellIs" dxfId="845" priority="15" operator="equal">
      <formula>KN_3</formula>
    </cfRule>
    <cfRule type="cellIs" dxfId="844" priority="16" operator="equal">
      <formula>KN_2</formula>
    </cfRule>
    <cfRule type="cellIs" dxfId="843" priority="17" operator="equal">
      <formula>OPV</formula>
    </cfRule>
    <cfRule type="cellIs" dxfId="842" priority="18" operator="equal">
      <formula>OPV_DOP</formula>
    </cfRule>
  </conditionalFormatting>
  <conditionalFormatting sqref="AE24">
    <cfRule type="cellIs" dxfId="841" priority="7" operator="equal">
      <formula>KN_Main</formula>
    </cfRule>
    <cfRule type="cellIs" dxfId="840" priority="8" operator="equal">
      <formula>KN_4</formula>
    </cfRule>
    <cfRule type="cellIs" dxfId="839" priority="9" operator="equal">
      <formula>KN_3</formula>
    </cfRule>
    <cfRule type="cellIs" dxfId="838" priority="10" operator="equal">
      <formula>KN_2</formula>
    </cfRule>
    <cfRule type="cellIs" dxfId="837" priority="11" operator="equal">
      <formula>OPV</formula>
    </cfRule>
    <cfRule type="cellIs" dxfId="836" priority="12" operator="equal">
      <formula>OPV_DOP</formula>
    </cfRule>
  </conditionalFormatting>
  <conditionalFormatting sqref="AG24">
    <cfRule type="cellIs" dxfId="835" priority="1" operator="equal">
      <formula>KN_Main</formula>
    </cfRule>
    <cfRule type="cellIs" dxfId="834" priority="2" operator="equal">
      <formula>KN_4</formula>
    </cfRule>
    <cfRule type="cellIs" dxfId="833" priority="3" operator="equal">
      <formula>KN_3</formula>
    </cfRule>
    <cfRule type="cellIs" dxfId="832" priority="4" operator="equal">
      <formula>KN_2</formula>
    </cfRule>
    <cfRule type="cellIs" dxfId="831" priority="5" operator="equal">
      <formula>OPV</formula>
    </cfRule>
    <cfRule type="cellIs" dxfId="830" priority="6" operator="equal">
      <formula>OPV_DOP</formula>
    </cfRule>
  </conditionalFormatting>
  <hyperlinks>
    <hyperlink ref="AE7" r:id="rId1"/>
  </hyperlinks>
  <pageMargins left="0.7" right="0.7" top="0.75" bottom="0.75" header="0.3" footer="0.3"/>
  <pageSetup orientation="landscape" horizontalDpi="1200" verticalDpi="1200" r:id="rId2"/>
  <ignoredErrors>
    <ignoredError sqref="AD30" formula="1"/>
  </ignoredErrors>
  <drawing r:id="rId3"/>
  <legacyDrawing r:id="rId4"/>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V52"/>
  <sheetViews>
    <sheetView showGridLines="0" zoomScale="120" zoomScaleNormal="120" zoomScalePageLayoutView="120" workbookViewId="0">
      <selection activeCell="E20" sqref="E20"/>
    </sheetView>
  </sheetViews>
  <sheetFormatPr defaultColWidth="8.875" defaultRowHeight="15" x14ac:dyDescent="0.25"/>
  <cols>
    <col min="9" max="9" width="9.375" customWidth="1"/>
    <col min="10" max="10" width="10.25" bestFit="1" customWidth="1"/>
    <col min="12" max="12" width="9.25" customWidth="1"/>
    <col min="19" max="19" width="3.375" customWidth="1"/>
  </cols>
  <sheetData>
    <row r="2" spans="2:14" ht="15.75" thickBot="1" x14ac:dyDescent="0.3">
      <c r="B2" t="s">
        <v>263</v>
      </c>
      <c r="C2" s="790">
        <f>DATE(C5,C4,C3)</f>
        <v>30295</v>
      </c>
      <c r="D2" s="790"/>
      <c r="G2" s="786" t="s">
        <v>17</v>
      </c>
      <c r="H2" s="786"/>
      <c r="I2" s="786"/>
      <c r="J2" s="786"/>
      <c r="K2" s="786"/>
      <c r="L2" s="786"/>
      <c r="M2" s="786"/>
      <c r="N2" s="787"/>
    </row>
    <row r="3" spans="2:14" ht="15.75" thickBot="1" x14ac:dyDescent="0.3">
      <c r="B3" t="s">
        <v>3</v>
      </c>
      <c r="C3" s="576">
        <v>10</v>
      </c>
      <c r="D3">
        <f>numberto22(C3)</f>
        <v>10</v>
      </c>
      <c r="G3" s="19"/>
      <c r="H3" s="19" t="s">
        <v>20</v>
      </c>
      <c r="I3" s="19" t="s">
        <v>21</v>
      </c>
      <c r="J3" s="19" t="s">
        <v>22</v>
      </c>
      <c r="K3" s="19" t="s">
        <v>23</v>
      </c>
      <c r="L3" s="19" t="s">
        <v>24</v>
      </c>
      <c r="M3" s="20" t="s">
        <v>25</v>
      </c>
      <c r="N3" s="21" t="s">
        <v>26</v>
      </c>
    </row>
    <row r="4" spans="2:14" x14ac:dyDescent="0.25">
      <c r="B4" t="s">
        <v>11</v>
      </c>
      <c r="C4" s="572">
        <v>12</v>
      </c>
      <c r="D4">
        <f t="shared" ref="D4" si="0">numberto22(C4)</f>
        <v>12</v>
      </c>
      <c r="G4" s="19" t="s">
        <v>33</v>
      </c>
      <c r="H4" s="22">
        <f>CalcTP(C3)</f>
        <v>10</v>
      </c>
      <c r="I4" s="22">
        <f>numberto22(ABS(D3+D4))</f>
        <v>22</v>
      </c>
      <c r="J4" s="22">
        <f>numberto22(ABS(D3+D5))</f>
        <v>8</v>
      </c>
      <c r="K4" s="22">
        <f>numberto22(ABS(I4+J4))</f>
        <v>8</v>
      </c>
      <c r="L4" s="22">
        <f>numberto22(ABS(D4+D5))</f>
        <v>10</v>
      </c>
      <c r="M4" s="20">
        <f>numberto22(I4+J4+K4+L4)</f>
        <v>4</v>
      </c>
      <c r="N4" s="21">
        <f>numberto22(M4+M5)</f>
        <v>10</v>
      </c>
    </row>
    <row r="5" spans="2:14" ht="15.75" thickBot="1" x14ac:dyDescent="0.3">
      <c r="B5" t="s">
        <v>12</v>
      </c>
      <c r="C5" s="574">
        <v>1982</v>
      </c>
      <c r="D5">
        <f>numberto22(SumNumbers(C5))</f>
        <v>20</v>
      </c>
      <c r="G5" s="19" t="s">
        <v>36</v>
      </c>
      <c r="H5" s="22">
        <f>CalcOPV(C3)</f>
        <v>0</v>
      </c>
      <c r="I5" s="22">
        <f>numberto22(ABS(D3-D4))</f>
        <v>2</v>
      </c>
      <c r="J5" s="22">
        <f>numberto22(ABS(D3-D5))</f>
        <v>10</v>
      </c>
      <c r="K5" s="22">
        <f>numberto22(ABS(I5-J5))</f>
        <v>8</v>
      </c>
      <c r="L5" s="22">
        <f>numberto22(ABS(D4-D5))</f>
        <v>8</v>
      </c>
      <c r="M5" s="20">
        <f>numberto22(I5+J5+K5+L5)</f>
        <v>6</v>
      </c>
      <c r="N5" s="21">
        <f>numberto22(ABS(M5-M4))</f>
        <v>2</v>
      </c>
    </row>
    <row r="6" spans="2:14" x14ac:dyDescent="0.25">
      <c r="B6" s="66" t="s">
        <v>146</v>
      </c>
      <c r="C6">
        <f ca="1">DATEDIF(C2,TODAY(),"y")</f>
        <v>39</v>
      </c>
      <c r="G6" s="23" t="s">
        <v>42</v>
      </c>
      <c r="H6" s="788" t="str">
        <f xml:space="preserve"> CONCATENATE("0-",36-SumNumbers(C9))</f>
        <v>0-30</v>
      </c>
      <c r="I6" s="788"/>
      <c r="J6" s="23" t="str">
        <f>CONCATENATE(36-SumNumbers(C9)+1,"-",36-SumNumbers(C9)+9)</f>
        <v>31-39</v>
      </c>
      <c r="K6" s="23" t="str">
        <f>CONCATENATE(36-SumNumbers(C9)+10,"-",36-SumNumbers(C9)+18)</f>
        <v>40-48</v>
      </c>
      <c r="L6" s="23" t="str">
        <f>CONCATENATE(36-SumNumbers(C9)+19,"-и далее")</f>
        <v>49-и далее</v>
      </c>
      <c r="M6" s="23" t="s">
        <v>43</v>
      </c>
      <c r="N6" s="23" t="s">
        <v>43</v>
      </c>
    </row>
    <row r="7" spans="2:14" ht="15.75" thickBot="1" x14ac:dyDescent="0.3"/>
    <row r="8" spans="2:14" ht="30" x14ac:dyDescent="0.25">
      <c r="B8" s="265" t="s">
        <v>4</v>
      </c>
      <c r="C8" s="266" t="s">
        <v>5</v>
      </c>
      <c r="D8" s="266" t="s">
        <v>6</v>
      </c>
      <c r="E8" s="266" t="s">
        <v>7</v>
      </c>
    </row>
    <row r="9" spans="2:14" ht="15.75" thickBot="1" x14ac:dyDescent="0.3">
      <c r="B9" s="217">
        <f>SumNumbers(CONCATENATE(C3,C4,C5))</f>
        <v>24</v>
      </c>
      <c r="C9" s="94">
        <f>SumNumbers(B9)</f>
        <v>6</v>
      </c>
      <c r="D9" s="94">
        <f>B9-(2*MID(C3, 1,1))</f>
        <v>22</v>
      </c>
      <c r="E9" s="94">
        <f>SumNumbers(D9)</f>
        <v>4</v>
      </c>
      <c r="G9" t="str">
        <f>CONCATENATE(TEXT(C3,"00"),TEXT(C4,"00"),C5)</f>
        <v>10121982</v>
      </c>
      <c r="H9" s="27" t="s">
        <v>749</v>
      </c>
      <c r="I9" s="789">
        <f>VALUE(G9)/7</f>
        <v>1445997.4285714286</v>
      </c>
      <c r="J9" s="789"/>
    </row>
    <row r="10" spans="2:14" x14ac:dyDescent="0.25">
      <c r="I10" s="24" t="str">
        <f>TEXT(TRUNC(I9,0),"0000000")</f>
        <v>1445997</v>
      </c>
      <c r="J10" t="str">
        <f>IF(MID(I9-I10,3,7) ="","0000000", MID(I9-I10,3,7))</f>
        <v>4285714</v>
      </c>
    </row>
    <row r="11" spans="2:14" ht="15.75" x14ac:dyDescent="0.25">
      <c r="B11" s="440" t="str">
        <f>SUBSTITUTE(SUBSTITUTE(SUBSTITUTE(SUBSTITUTE(SUBSTITUTE(G9,"3",""),"6",""),"9","")," ",""),".","")</f>
        <v>1012182</v>
      </c>
      <c r="C11" s="441">
        <f>LEN(B11)/8</f>
        <v>0.875</v>
      </c>
      <c r="D11" s="442" t="s">
        <v>765</v>
      </c>
      <c r="E11" s="440"/>
      <c r="F11" s="440"/>
      <c r="I11" s="24"/>
    </row>
    <row r="12" spans="2:14" ht="15.75" x14ac:dyDescent="0.25">
      <c r="B12" s="440"/>
      <c r="C12" s="443" t="str">
        <f>MID(J10,1,1)</f>
        <v>4</v>
      </c>
      <c r="D12" s="442" t="s">
        <v>766</v>
      </c>
      <c r="E12" s="440"/>
      <c r="F12" s="440"/>
      <c r="I12" s="24"/>
    </row>
    <row r="13" spans="2:14" ht="15.75" x14ac:dyDescent="0.25">
      <c r="B13" s="444" t="s">
        <v>750</v>
      </c>
      <c r="C13" s="440"/>
      <c r="D13" s="440"/>
      <c r="E13" s="440"/>
      <c r="F13" s="440"/>
    </row>
    <row r="14" spans="2:14" ht="15.75" x14ac:dyDescent="0.25">
      <c r="B14" s="444" t="s">
        <v>751</v>
      </c>
      <c r="C14" s="440"/>
      <c r="D14" s="440"/>
      <c r="E14" s="440"/>
      <c r="F14" s="440"/>
    </row>
    <row r="15" spans="2:14" ht="15.75" x14ac:dyDescent="0.25">
      <c r="B15" s="444" t="s">
        <v>752</v>
      </c>
      <c r="C15" s="440"/>
      <c r="D15" s="440"/>
      <c r="E15" s="440"/>
      <c r="F15" s="440"/>
    </row>
    <row r="16" spans="2:14" ht="15.75" x14ac:dyDescent="0.25">
      <c r="B16" s="444" t="s">
        <v>753</v>
      </c>
      <c r="C16" s="440"/>
      <c r="D16" s="440"/>
      <c r="E16" s="440"/>
      <c r="F16" s="440"/>
    </row>
    <row r="17" spans="1:22" ht="15.75" x14ac:dyDescent="0.25">
      <c r="B17" s="444" t="s">
        <v>754</v>
      </c>
      <c r="C17" s="440"/>
      <c r="D17" s="440"/>
      <c r="E17" s="440"/>
      <c r="F17" s="440"/>
    </row>
    <row r="18" spans="1:22" ht="15.75" x14ac:dyDescent="0.25">
      <c r="B18" s="444" t="s">
        <v>777</v>
      </c>
      <c r="C18" s="440"/>
      <c r="D18" s="440"/>
      <c r="E18" s="440"/>
      <c r="F18" s="440"/>
    </row>
    <row r="19" spans="1:22" x14ac:dyDescent="0.25">
      <c r="B19" s="434"/>
    </row>
    <row r="20" spans="1:22" ht="26.25" x14ac:dyDescent="0.4">
      <c r="C20" s="437"/>
      <c r="D20" s="437"/>
      <c r="E20" s="437"/>
      <c r="F20" s="437"/>
      <c r="G20" s="785" t="s">
        <v>755</v>
      </c>
      <c r="H20" s="785"/>
      <c r="I20" s="785"/>
      <c r="J20" s="785"/>
      <c r="K20" s="785"/>
      <c r="L20" s="785"/>
      <c r="M20" s="785"/>
      <c r="N20" s="785"/>
      <c r="O20" s="438" t="s">
        <v>1</v>
      </c>
      <c r="P20" s="437"/>
    </row>
    <row r="21" spans="1:22" ht="17.25" customHeight="1" x14ac:dyDescent="0.4">
      <c r="B21" s="440" t="s">
        <v>762</v>
      </c>
      <c r="C21" s="435"/>
      <c r="D21" s="435"/>
      <c r="E21" s="435"/>
      <c r="F21" s="435"/>
      <c r="G21" s="435"/>
      <c r="H21" s="435"/>
      <c r="I21" s="435"/>
      <c r="J21" s="435"/>
      <c r="K21" s="435"/>
      <c r="L21" s="435"/>
      <c r="M21" s="435"/>
      <c r="N21" s="435"/>
      <c r="O21" s="435"/>
      <c r="P21" s="435"/>
      <c r="Q21" s="440" t="s">
        <v>763</v>
      </c>
    </row>
    <row r="22" spans="1:22" ht="26.25" x14ac:dyDescent="0.4">
      <c r="B22" s="436" t="s">
        <v>759</v>
      </c>
      <c r="C22" s="435"/>
      <c r="D22" s="435"/>
      <c r="E22" s="435"/>
      <c r="F22" s="435"/>
      <c r="G22" s="435"/>
      <c r="H22" s="435"/>
      <c r="I22" s="435"/>
      <c r="J22" s="435"/>
      <c r="K22" s="435"/>
      <c r="L22" s="435"/>
      <c r="M22" s="435"/>
      <c r="N22" s="436" t="s">
        <v>760</v>
      </c>
      <c r="O22" s="435"/>
      <c r="P22" s="435"/>
    </row>
    <row r="23" spans="1:22" ht="24" thickBot="1" x14ac:dyDescent="0.4">
      <c r="A23" s="15" t="s">
        <v>756</v>
      </c>
      <c r="B23" s="15" t="s">
        <v>776</v>
      </c>
      <c r="P23" s="15" t="s">
        <v>775</v>
      </c>
      <c r="T23" s="440" t="s">
        <v>764</v>
      </c>
      <c r="U23" s="440"/>
      <c r="V23" s="440"/>
    </row>
    <row r="24" spans="1:22" ht="16.5" thickBot="1" x14ac:dyDescent="0.3">
      <c r="T24" s="501">
        <v>1</v>
      </c>
      <c r="U24" s="440" t="s">
        <v>768</v>
      </c>
      <c r="V24" s="440"/>
    </row>
    <row r="25" spans="1:22" ht="16.5" thickBot="1" x14ac:dyDescent="0.3">
      <c r="B25" s="471">
        <f>numberto22(J25+B33)</f>
        <v>6</v>
      </c>
      <c r="C25" s="496"/>
      <c r="D25" s="496"/>
      <c r="E25" s="496"/>
      <c r="F25" s="496"/>
      <c r="G25" s="496"/>
      <c r="H25" s="496"/>
      <c r="I25" s="496"/>
      <c r="J25" s="490">
        <f>B33+R33</f>
        <v>5</v>
      </c>
      <c r="K25" s="496"/>
      <c r="L25" s="496"/>
      <c r="M25" s="496"/>
      <c r="N25" s="496"/>
      <c r="O25" s="496"/>
      <c r="P25" s="496"/>
      <c r="Q25" s="496"/>
      <c r="R25" s="471">
        <f>numberto22(R33+J25)</f>
        <v>9</v>
      </c>
      <c r="T25" s="502">
        <v>2</v>
      </c>
      <c r="U25" s="440" t="s">
        <v>769</v>
      </c>
      <c r="V25" s="440"/>
    </row>
    <row r="26" spans="1:22" ht="16.5" thickBot="1" x14ac:dyDescent="0.3">
      <c r="B26" s="497"/>
      <c r="C26" s="470">
        <f>numberto22(J26+C33)</f>
        <v>9</v>
      </c>
      <c r="D26" s="492"/>
      <c r="E26" s="492"/>
      <c r="F26" s="492"/>
      <c r="G26" s="492"/>
      <c r="H26" s="492"/>
      <c r="I26" s="492"/>
      <c r="J26" s="482">
        <f>C33+Q33</f>
        <v>5</v>
      </c>
      <c r="K26" s="492"/>
      <c r="L26" s="492"/>
      <c r="M26" s="492"/>
      <c r="N26" s="492"/>
      <c r="O26" s="492"/>
      <c r="P26" s="492"/>
      <c r="Q26" s="470">
        <f>numberto22(Q33+J26)</f>
        <v>6</v>
      </c>
      <c r="R26" s="498"/>
      <c r="T26" s="503">
        <v>3</v>
      </c>
      <c r="U26" s="440" t="s">
        <v>770</v>
      </c>
      <c r="V26" s="440"/>
    </row>
    <row r="27" spans="1:22" ht="16.5" thickBot="1" x14ac:dyDescent="0.3">
      <c r="B27" s="497"/>
      <c r="C27" s="493"/>
      <c r="D27" s="469">
        <f>numberto22(J27+D33)</f>
        <v>15</v>
      </c>
      <c r="E27" s="484"/>
      <c r="F27" s="484"/>
      <c r="G27" s="484"/>
      <c r="H27" s="484"/>
      <c r="I27" s="484"/>
      <c r="J27" s="474">
        <f>D33+P33</f>
        <v>11</v>
      </c>
      <c r="K27" s="484"/>
      <c r="L27" s="484"/>
      <c r="M27" s="484"/>
      <c r="N27" s="484"/>
      <c r="O27" s="484"/>
      <c r="P27" s="469">
        <f>numberto22(P33+J27)</f>
        <v>18</v>
      </c>
      <c r="Q27" s="494"/>
      <c r="R27" s="498"/>
      <c r="T27" s="504">
        <v>4</v>
      </c>
      <c r="U27" s="440" t="s">
        <v>771</v>
      </c>
      <c r="V27" s="440"/>
    </row>
    <row r="28" spans="1:22" ht="16.5" thickBot="1" x14ac:dyDescent="0.3">
      <c r="B28" s="497"/>
      <c r="C28" s="493"/>
      <c r="D28" s="485"/>
      <c r="E28" s="468">
        <f>numberto22(J28+E33)</f>
        <v>15</v>
      </c>
      <c r="F28" s="476"/>
      <c r="G28" s="476"/>
      <c r="H28" s="476"/>
      <c r="I28" s="476"/>
      <c r="J28" s="468">
        <f>E33+O33</f>
        <v>10</v>
      </c>
      <c r="K28" s="476"/>
      <c r="L28" s="476"/>
      <c r="M28" s="476"/>
      <c r="N28" s="476"/>
      <c r="O28" s="468">
        <f>numberto22(J28+O33)</f>
        <v>15</v>
      </c>
      <c r="P28" s="486"/>
      <c r="Q28" s="494"/>
      <c r="R28" s="498"/>
      <c r="T28" s="505">
        <v>5</v>
      </c>
      <c r="U28" s="440" t="s">
        <v>772</v>
      </c>
      <c r="V28" s="440"/>
    </row>
    <row r="29" spans="1:22" ht="16.5" thickBot="1" x14ac:dyDescent="0.3">
      <c r="B29" s="497"/>
      <c r="C29" s="493"/>
      <c r="D29" s="485"/>
      <c r="E29" s="477"/>
      <c r="F29" s="467">
        <f>numberto22(J29+F33)</f>
        <v>4</v>
      </c>
      <c r="G29" s="463"/>
      <c r="H29" s="463"/>
      <c r="I29" s="463"/>
      <c r="J29" s="467">
        <f>F33+N33</f>
        <v>17</v>
      </c>
      <c r="K29" s="463"/>
      <c r="L29" s="463"/>
      <c r="M29" s="463"/>
      <c r="N29" s="467">
        <f>numberto22(N33+J29)</f>
        <v>3</v>
      </c>
      <c r="O29" s="478"/>
      <c r="P29" s="486"/>
      <c r="Q29" s="494"/>
      <c r="R29" s="498"/>
      <c r="T29" s="506">
        <v>6</v>
      </c>
      <c r="U29" s="440" t="s">
        <v>773</v>
      </c>
      <c r="V29" s="440"/>
    </row>
    <row r="30" spans="1:22" ht="16.5" thickBot="1" x14ac:dyDescent="0.3">
      <c r="B30" s="497"/>
      <c r="C30" s="493"/>
      <c r="D30" s="485"/>
      <c r="E30" s="477"/>
      <c r="F30" s="464"/>
      <c r="G30" s="462">
        <f>numberto22(J30+G33)</f>
        <v>20</v>
      </c>
      <c r="H30" s="458"/>
      <c r="I30" s="458"/>
      <c r="J30" s="462">
        <f>G33+M33</f>
        <v>11</v>
      </c>
      <c r="K30" s="458"/>
      <c r="L30" s="458"/>
      <c r="M30" s="462">
        <f>numberto22(J30+M33)</f>
        <v>13</v>
      </c>
      <c r="N30" s="465"/>
      <c r="O30" s="478"/>
      <c r="P30" s="486"/>
      <c r="Q30" s="494"/>
      <c r="R30" s="498"/>
      <c r="T30" s="500">
        <v>7</v>
      </c>
      <c r="U30" s="440" t="s">
        <v>774</v>
      </c>
      <c r="V30" s="440"/>
    </row>
    <row r="31" spans="1:22" ht="16.5" thickBot="1" x14ac:dyDescent="0.3">
      <c r="B31" s="497"/>
      <c r="C31" s="493"/>
      <c r="D31" s="485"/>
      <c r="E31" s="477"/>
      <c r="F31" s="464"/>
      <c r="G31" s="459"/>
      <c r="H31" s="457">
        <f>numberto22(H33+J31)</f>
        <v>18</v>
      </c>
      <c r="I31" s="453"/>
      <c r="J31" s="457">
        <f>H33+L33</f>
        <v>11</v>
      </c>
      <c r="K31" s="453"/>
      <c r="L31" s="457">
        <f>numberto22(J31+L33)</f>
        <v>15</v>
      </c>
      <c r="M31" s="460"/>
      <c r="N31" s="465"/>
      <c r="O31" s="478"/>
      <c r="P31" s="486"/>
      <c r="Q31" s="494"/>
      <c r="R31" s="498"/>
      <c r="T31" s="440"/>
      <c r="U31" s="440"/>
      <c r="V31" s="440"/>
    </row>
    <row r="32" spans="1:22" ht="16.5" thickBot="1" x14ac:dyDescent="0.3">
      <c r="B32" s="497"/>
      <c r="C32" s="493"/>
      <c r="D32" s="485"/>
      <c r="E32" s="477"/>
      <c r="F32" s="464"/>
      <c r="G32" s="459"/>
      <c r="H32" s="454"/>
      <c r="I32" s="445"/>
      <c r="J32" s="446"/>
      <c r="K32" s="447"/>
      <c r="L32" s="455"/>
      <c r="M32" s="460"/>
      <c r="N32" s="465"/>
      <c r="O32" s="478"/>
      <c r="P32" s="486"/>
      <c r="Q32" s="494"/>
      <c r="R32" s="498"/>
      <c r="T32" s="507"/>
      <c r="U32" s="440" t="s">
        <v>767</v>
      </c>
      <c r="V32" s="440"/>
    </row>
    <row r="33" spans="1:22" ht="16.5" thickBot="1" x14ac:dyDescent="0.3">
      <c r="B33" s="488" t="str">
        <f>MID($I$10,1,1)</f>
        <v>1</v>
      </c>
      <c r="C33" s="480" t="str">
        <f>MID($I$10,2,1)</f>
        <v>4</v>
      </c>
      <c r="D33" s="472" t="str">
        <f>MID($I$10,3,1)</f>
        <v>4</v>
      </c>
      <c r="E33" s="468" t="str">
        <f>MID($I$10,4,1)</f>
        <v>5</v>
      </c>
      <c r="F33" s="467" t="str">
        <f>MID($I$10,5,1)</f>
        <v>9</v>
      </c>
      <c r="G33" s="462" t="str">
        <f>MID($I$10,6,1)</f>
        <v>9</v>
      </c>
      <c r="H33" s="457" t="str">
        <f>MID($I$10,7,1)</f>
        <v>7</v>
      </c>
      <c r="I33" s="448"/>
      <c r="J33" s="439"/>
      <c r="K33" s="449"/>
      <c r="L33" s="457" t="str">
        <f>MID($J$10,1,1)</f>
        <v>4</v>
      </c>
      <c r="M33" s="462" t="str">
        <f>MID($J$10,2,1)</f>
        <v>2</v>
      </c>
      <c r="N33" s="467" t="str">
        <f>MID($J$10,3,1)</f>
        <v>8</v>
      </c>
      <c r="O33" s="468" t="str">
        <f>MID($J$10,4,1)</f>
        <v>5</v>
      </c>
      <c r="P33" s="473" t="str">
        <f>MID($J$10,5,1)</f>
        <v>7</v>
      </c>
      <c r="Q33" s="481" t="str">
        <f>MID($J$10,6,1)</f>
        <v>1</v>
      </c>
      <c r="R33" s="489" t="str">
        <f>MID($J$10,7,1)</f>
        <v>4</v>
      </c>
      <c r="T33" s="440"/>
      <c r="U33" s="440"/>
      <c r="V33" s="440"/>
    </row>
    <row r="34" spans="1:22" ht="15.75" thickBot="1" x14ac:dyDescent="0.3">
      <c r="B34" s="497"/>
      <c r="C34" s="493"/>
      <c r="D34" s="485"/>
      <c r="E34" s="477"/>
      <c r="F34" s="464"/>
      <c r="G34" s="459"/>
      <c r="H34" s="454"/>
      <c r="I34" s="450"/>
      <c r="J34" s="451"/>
      <c r="K34" s="452"/>
      <c r="L34" s="455"/>
      <c r="M34" s="460"/>
      <c r="N34" s="465"/>
      <c r="O34" s="478"/>
      <c r="P34" s="486"/>
      <c r="Q34" s="494"/>
      <c r="R34" s="498"/>
    </row>
    <row r="35" spans="1:22" ht="15.75" thickBot="1" x14ac:dyDescent="0.3">
      <c r="B35" s="497"/>
      <c r="C35" s="493"/>
      <c r="D35" s="485"/>
      <c r="E35" s="477"/>
      <c r="F35" s="464"/>
      <c r="G35" s="459"/>
      <c r="H35" s="457">
        <f>numberto22(H33+J35)</f>
        <v>10</v>
      </c>
      <c r="I35" s="456"/>
      <c r="J35" s="457">
        <f>ABS(numberto22(numberto22(H33)-numberto22(L33)))</f>
        <v>3</v>
      </c>
      <c r="K35" s="456"/>
      <c r="L35" s="457">
        <f>numberto22(J35+L33)</f>
        <v>7</v>
      </c>
      <c r="M35" s="460"/>
      <c r="N35" s="465"/>
      <c r="O35" s="478"/>
      <c r="P35" s="486"/>
      <c r="Q35" s="494"/>
      <c r="R35" s="498"/>
    </row>
    <row r="36" spans="1:22" ht="15.75" thickBot="1" x14ac:dyDescent="0.3">
      <c r="B36" s="497"/>
      <c r="C36" s="493"/>
      <c r="D36" s="485"/>
      <c r="E36" s="477"/>
      <c r="F36" s="464"/>
      <c r="G36" s="462">
        <f>numberto22(G33+J36)</f>
        <v>16</v>
      </c>
      <c r="H36" s="461"/>
      <c r="I36" s="461"/>
      <c r="J36" s="462">
        <f>ABS(numberto22(numberto22(G33)-numberto22(M33)))</f>
        <v>7</v>
      </c>
      <c r="K36" s="461"/>
      <c r="L36" s="461"/>
      <c r="M36" s="462">
        <f>numberto22(J36+M33)</f>
        <v>9</v>
      </c>
      <c r="N36" s="465"/>
      <c r="O36" s="478"/>
      <c r="P36" s="486"/>
      <c r="Q36" s="494"/>
      <c r="R36" s="498"/>
    </row>
    <row r="37" spans="1:22" ht="15.75" thickBot="1" x14ac:dyDescent="0.3">
      <c r="B37" s="497"/>
      <c r="C37" s="493"/>
      <c r="D37" s="485"/>
      <c r="E37" s="477"/>
      <c r="F37" s="467">
        <f>numberto22(F33+J37)</f>
        <v>10</v>
      </c>
      <c r="G37" s="466"/>
      <c r="H37" s="466"/>
      <c r="I37" s="466"/>
      <c r="J37" s="467">
        <f>ABS(numberto22(numberto22(F33)-numberto22(N33)))</f>
        <v>1</v>
      </c>
      <c r="K37" s="466"/>
      <c r="L37" s="466"/>
      <c r="M37" s="466"/>
      <c r="N37" s="467">
        <f>numberto22(N33+J37)</f>
        <v>9</v>
      </c>
      <c r="O37" s="478"/>
      <c r="P37" s="486"/>
      <c r="Q37" s="494"/>
      <c r="R37" s="498"/>
    </row>
    <row r="38" spans="1:22" ht="15.75" thickBot="1" x14ac:dyDescent="0.3">
      <c r="B38" s="497"/>
      <c r="C38" s="493"/>
      <c r="D38" s="485"/>
      <c r="E38" s="468">
        <f>numberto22(E33+J38)</f>
        <v>5</v>
      </c>
      <c r="F38" s="479"/>
      <c r="G38" s="479"/>
      <c r="H38" s="479"/>
      <c r="I38" s="479"/>
      <c r="J38" s="468">
        <f>ABS(numberto22(numberto22(E33)-numberto22(O33)))</f>
        <v>22</v>
      </c>
      <c r="K38" s="479"/>
      <c r="L38" s="479"/>
      <c r="M38" s="479"/>
      <c r="N38" s="479"/>
      <c r="O38" s="468">
        <f>numberto22(O33+J38)</f>
        <v>5</v>
      </c>
      <c r="P38" s="486"/>
      <c r="Q38" s="494"/>
      <c r="R38" s="498"/>
    </row>
    <row r="39" spans="1:22" ht="15.75" thickBot="1" x14ac:dyDescent="0.3">
      <c r="B39" s="497"/>
      <c r="C39" s="493"/>
      <c r="D39" s="469">
        <f>numberto22(D33+J39)</f>
        <v>7</v>
      </c>
      <c r="E39" s="487"/>
      <c r="F39" s="487"/>
      <c r="G39" s="487"/>
      <c r="H39" s="487"/>
      <c r="I39" s="487"/>
      <c r="J39" s="475">
        <f>ABS(numberto22(numberto22(D33)-numberto22(P33)))</f>
        <v>3</v>
      </c>
      <c r="K39" s="487"/>
      <c r="L39" s="487"/>
      <c r="M39" s="487"/>
      <c r="N39" s="487"/>
      <c r="O39" s="487"/>
      <c r="P39" s="469">
        <f>numberto22(P33+J39)</f>
        <v>10</v>
      </c>
      <c r="Q39" s="494"/>
      <c r="R39" s="498"/>
    </row>
    <row r="40" spans="1:22" ht="15.75" thickBot="1" x14ac:dyDescent="0.3">
      <c r="B40" s="497"/>
      <c r="C40" s="470">
        <f>numberto22(C33+J40)</f>
        <v>7</v>
      </c>
      <c r="D40" s="495"/>
      <c r="E40" s="495"/>
      <c r="F40" s="495"/>
      <c r="G40" s="495"/>
      <c r="H40" s="495"/>
      <c r="I40" s="495"/>
      <c r="J40" s="483">
        <f>ABS(numberto22(numberto22(C33)-numberto22(Q33)))</f>
        <v>3</v>
      </c>
      <c r="K40" s="495"/>
      <c r="L40" s="495"/>
      <c r="M40" s="495"/>
      <c r="N40" s="495"/>
      <c r="O40" s="495"/>
      <c r="P40" s="495"/>
      <c r="Q40" s="470">
        <f>numberto22(Q33+J40)</f>
        <v>4</v>
      </c>
      <c r="R40" s="498"/>
    </row>
    <row r="41" spans="1:22" ht="15.75" thickBot="1" x14ac:dyDescent="0.3">
      <c r="B41" s="471">
        <f>numberto22(B33+J41)</f>
        <v>4</v>
      </c>
      <c r="C41" s="499"/>
      <c r="D41" s="499"/>
      <c r="E41" s="499"/>
      <c r="F41" s="499"/>
      <c r="G41" s="499"/>
      <c r="H41" s="499"/>
      <c r="I41" s="499"/>
      <c r="J41" s="491">
        <f>ABS(numberto22(numberto22(B33)-numberto22(R33)))</f>
        <v>3</v>
      </c>
      <c r="K41" s="499"/>
      <c r="L41" s="499"/>
      <c r="M41" s="499"/>
      <c r="N41" s="499"/>
      <c r="O41" s="499"/>
      <c r="P41" s="499"/>
      <c r="Q41" s="499"/>
      <c r="R41" s="471">
        <f>numberto22(R33+J41)</f>
        <v>7</v>
      </c>
    </row>
    <row r="42" spans="1:22" x14ac:dyDescent="0.25">
      <c r="J42" s="433"/>
    </row>
    <row r="43" spans="1:22" ht="23.25" x14ac:dyDescent="0.35">
      <c r="A43" s="15" t="s">
        <v>757</v>
      </c>
      <c r="B43" s="15" t="s">
        <v>758</v>
      </c>
      <c r="R43" s="15" t="s">
        <v>761</v>
      </c>
    </row>
    <row r="52" spans="9:9" x14ac:dyDescent="0.25">
      <c r="I52" s="433"/>
    </row>
  </sheetData>
  <mergeCells count="5">
    <mergeCell ref="G20:N20"/>
    <mergeCell ref="G2:N2"/>
    <mergeCell ref="H6:I6"/>
    <mergeCell ref="I9:J9"/>
    <mergeCell ref="C2:D2"/>
  </mergeCells>
  <conditionalFormatting sqref="H35">
    <cfRule type="cellIs" dxfId="829" priority="892" operator="equal">
      <formula>MOPV_G</formula>
    </cfRule>
    <cfRule type="cellIs" dxfId="828" priority="893" operator="equal">
      <formula>MOPV_4</formula>
    </cfRule>
    <cfRule type="cellIs" dxfId="827" priority="894" operator="equal">
      <formula>MOPV_1</formula>
    </cfRule>
    <cfRule type="cellIs" dxfId="826" priority="895" operator="equal">
      <formula>MOPV_3</formula>
    </cfRule>
    <cfRule type="cellIs" dxfId="825" priority="896" operator="equal">
      <formula>MOPV_Dop</formula>
    </cfRule>
    <cfRule type="cellIs" dxfId="824" priority="897" operator="equal">
      <formula>MOPV_2</formula>
    </cfRule>
  </conditionalFormatting>
  <conditionalFormatting sqref="H31">
    <cfRule type="cellIs" dxfId="823" priority="880" operator="equal">
      <formula>MOPV_G</formula>
    </cfRule>
    <cfRule type="cellIs" dxfId="822" priority="881" operator="equal">
      <formula>MOPV_4</formula>
    </cfRule>
    <cfRule type="cellIs" dxfId="821" priority="882" operator="equal">
      <formula>MOPV_1</formula>
    </cfRule>
    <cfRule type="cellIs" dxfId="820" priority="883" operator="equal">
      <formula>MOPV_3</formula>
    </cfRule>
    <cfRule type="cellIs" dxfId="819" priority="884" operator="equal">
      <formula>MOPV_Dop</formula>
    </cfRule>
    <cfRule type="cellIs" dxfId="818" priority="885" operator="equal">
      <formula>MOPV_2</formula>
    </cfRule>
  </conditionalFormatting>
  <conditionalFormatting sqref="L31">
    <cfRule type="cellIs" dxfId="817" priority="874" operator="equal">
      <formula>MOPV_G</formula>
    </cfRule>
    <cfRule type="cellIs" dxfId="816" priority="875" operator="equal">
      <formula>MOPV_4</formula>
    </cfRule>
    <cfRule type="cellIs" dxfId="815" priority="876" operator="equal">
      <formula>MOPV_1</formula>
    </cfRule>
    <cfRule type="cellIs" dxfId="814" priority="877" operator="equal">
      <formula>MOPV_3</formula>
    </cfRule>
    <cfRule type="cellIs" dxfId="813" priority="878" operator="equal">
      <formula>MOPV_Dop</formula>
    </cfRule>
    <cfRule type="cellIs" dxfId="812" priority="879" operator="equal">
      <formula>MOPV_2</formula>
    </cfRule>
  </conditionalFormatting>
  <conditionalFormatting sqref="L35">
    <cfRule type="cellIs" dxfId="811" priority="862" operator="equal">
      <formula>MOPV_G</formula>
    </cfRule>
    <cfRule type="cellIs" dxfId="810" priority="863" operator="equal">
      <formula>MOPV_4</formula>
    </cfRule>
    <cfRule type="cellIs" dxfId="809" priority="864" operator="equal">
      <formula>MOPV_1</formula>
    </cfRule>
    <cfRule type="cellIs" dxfId="808" priority="865" operator="equal">
      <formula>MOPV_3</formula>
    </cfRule>
    <cfRule type="cellIs" dxfId="807" priority="866" operator="equal">
      <formula>MOPV_Dop</formula>
    </cfRule>
    <cfRule type="cellIs" dxfId="806" priority="867" operator="equal">
      <formula>MOPV_2</formula>
    </cfRule>
  </conditionalFormatting>
  <conditionalFormatting sqref="G30">
    <cfRule type="cellIs" dxfId="805" priority="850" operator="equal">
      <formula>MOPV_G</formula>
    </cfRule>
    <cfRule type="cellIs" dxfId="804" priority="851" operator="equal">
      <formula>MOPV_4</formula>
    </cfRule>
    <cfRule type="cellIs" dxfId="803" priority="852" operator="equal">
      <formula>MOPV_1</formula>
    </cfRule>
    <cfRule type="cellIs" dxfId="802" priority="853" operator="equal">
      <formula>MOPV_3</formula>
    </cfRule>
    <cfRule type="cellIs" dxfId="801" priority="854" operator="equal">
      <formula>MOPV_Dop</formula>
    </cfRule>
    <cfRule type="cellIs" dxfId="800" priority="855" operator="equal">
      <formula>MOPV_2</formula>
    </cfRule>
  </conditionalFormatting>
  <conditionalFormatting sqref="G36">
    <cfRule type="cellIs" dxfId="799" priority="838" operator="equal">
      <formula>MOPV_G</formula>
    </cfRule>
    <cfRule type="cellIs" dxfId="798" priority="839" operator="equal">
      <formula>MOPV_4</formula>
    </cfRule>
    <cfRule type="cellIs" dxfId="797" priority="840" operator="equal">
      <formula>MOPV_1</formula>
    </cfRule>
    <cfRule type="cellIs" dxfId="796" priority="841" operator="equal">
      <formula>MOPV_3</formula>
    </cfRule>
    <cfRule type="cellIs" dxfId="795" priority="842" operator="equal">
      <formula>MOPV_Dop</formula>
    </cfRule>
    <cfRule type="cellIs" dxfId="794" priority="843" operator="equal">
      <formula>MOPV_2</formula>
    </cfRule>
  </conditionalFormatting>
  <conditionalFormatting sqref="M30">
    <cfRule type="cellIs" dxfId="793" priority="826" operator="equal">
      <formula>MOPV_G</formula>
    </cfRule>
    <cfRule type="cellIs" dxfId="792" priority="827" operator="equal">
      <formula>MOPV_4</formula>
    </cfRule>
    <cfRule type="cellIs" dxfId="791" priority="828" operator="equal">
      <formula>MOPV_1</formula>
    </cfRule>
    <cfRule type="cellIs" dxfId="790" priority="829" operator="equal">
      <formula>MOPV_3</formula>
    </cfRule>
    <cfRule type="cellIs" dxfId="789" priority="830" operator="equal">
      <formula>MOPV_Dop</formula>
    </cfRule>
    <cfRule type="cellIs" dxfId="788" priority="831" operator="equal">
      <formula>MOPV_2</formula>
    </cfRule>
  </conditionalFormatting>
  <conditionalFormatting sqref="M36">
    <cfRule type="cellIs" dxfId="787" priority="814" operator="equal">
      <formula>MOPV_G</formula>
    </cfRule>
    <cfRule type="cellIs" dxfId="786" priority="815" operator="equal">
      <formula>MOPV_4</formula>
    </cfRule>
    <cfRule type="cellIs" dxfId="785" priority="816" operator="equal">
      <formula>MOPV_1</formula>
    </cfRule>
    <cfRule type="cellIs" dxfId="784" priority="817" operator="equal">
      <formula>MOPV_3</formula>
    </cfRule>
    <cfRule type="cellIs" dxfId="783" priority="818" operator="equal">
      <formula>MOPV_Dop</formula>
    </cfRule>
    <cfRule type="cellIs" dxfId="782" priority="819" operator="equal">
      <formula>MOPV_2</formula>
    </cfRule>
  </conditionalFormatting>
  <conditionalFormatting sqref="F29">
    <cfRule type="cellIs" dxfId="781" priority="796" operator="equal">
      <formula>MOPV_G</formula>
    </cfRule>
    <cfRule type="cellIs" dxfId="780" priority="797" operator="equal">
      <formula>MOPV_4</formula>
    </cfRule>
    <cfRule type="cellIs" dxfId="779" priority="798" operator="equal">
      <formula>MOPV_1</formula>
    </cfRule>
    <cfRule type="cellIs" dxfId="778" priority="799" operator="equal">
      <formula>MOPV_3</formula>
    </cfRule>
    <cfRule type="cellIs" dxfId="777" priority="800" operator="equal">
      <formula>MOPV_Dop</formula>
    </cfRule>
    <cfRule type="cellIs" dxfId="776" priority="801" operator="equal">
      <formula>MOPV_2</formula>
    </cfRule>
  </conditionalFormatting>
  <conditionalFormatting sqref="F37">
    <cfRule type="cellIs" dxfId="775" priority="784" operator="equal">
      <formula>MOPV_G</formula>
    </cfRule>
    <cfRule type="cellIs" dxfId="774" priority="785" operator="equal">
      <formula>MOPV_4</formula>
    </cfRule>
    <cfRule type="cellIs" dxfId="773" priority="786" operator="equal">
      <formula>MOPV_1</formula>
    </cfRule>
    <cfRule type="cellIs" dxfId="772" priority="787" operator="equal">
      <formula>MOPV_3</formula>
    </cfRule>
    <cfRule type="cellIs" dxfId="771" priority="788" operator="equal">
      <formula>MOPV_Dop</formula>
    </cfRule>
    <cfRule type="cellIs" dxfId="770" priority="789" operator="equal">
      <formula>MOPV_2</formula>
    </cfRule>
  </conditionalFormatting>
  <conditionalFormatting sqref="N29">
    <cfRule type="cellIs" dxfId="769" priority="772" operator="equal">
      <formula>MOPV_G</formula>
    </cfRule>
    <cfRule type="cellIs" dxfId="768" priority="773" operator="equal">
      <formula>MOPV_4</formula>
    </cfRule>
    <cfRule type="cellIs" dxfId="767" priority="774" operator="equal">
      <formula>MOPV_1</formula>
    </cfRule>
    <cfRule type="cellIs" dxfId="766" priority="775" operator="equal">
      <formula>MOPV_3</formula>
    </cfRule>
    <cfRule type="cellIs" dxfId="765" priority="776" operator="equal">
      <formula>MOPV_Dop</formula>
    </cfRule>
    <cfRule type="cellIs" dxfId="764" priority="777" operator="equal">
      <formula>MOPV_2</formula>
    </cfRule>
  </conditionalFormatting>
  <conditionalFormatting sqref="N37">
    <cfRule type="cellIs" dxfId="763" priority="760" operator="equal">
      <formula>MOPV_G</formula>
    </cfRule>
    <cfRule type="cellIs" dxfId="762" priority="761" operator="equal">
      <formula>MOPV_4</formula>
    </cfRule>
    <cfRule type="cellIs" dxfId="761" priority="762" operator="equal">
      <formula>MOPV_1</formula>
    </cfRule>
    <cfRule type="cellIs" dxfId="760" priority="763" operator="equal">
      <formula>MOPV_3</formula>
    </cfRule>
    <cfRule type="cellIs" dxfId="759" priority="764" operator="equal">
      <formula>MOPV_Dop</formula>
    </cfRule>
    <cfRule type="cellIs" dxfId="758" priority="765" operator="equal">
      <formula>MOPV_2</formula>
    </cfRule>
  </conditionalFormatting>
  <conditionalFormatting sqref="O28">
    <cfRule type="cellIs" dxfId="757" priority="748" operator="equal">
      <formula>MOPV_G</formula>
    </cfRule>
    <cfRule type="cellIs" dxfId="756" priority="749" operator="equal">
      <formula>MOPV_4</formula>
    </cfRule>
    <cfRule type="cellIs" dxfId="755" priority="750" operator="equal">
      <formula>MOPV_1</formula>
    </cfRule>
    <cfRule type="cellIs" dxfId="754" priority="751" operator="equal">
      <formula>MOPV_3</formula>
    </cfRule>
    <cfRule type="cellIs" dxfId="753" priority="752" operator="equal">
      <formula>MOPV_Dop</formula>
    </cfRule>
    <cfRule type="cellIs" dxfId="752" priority="753" operator="equal">
      <formula>MOPV_2</formula>
    </cfRule>
  </conditionalFormatting>
  <conditionalFormatting sqref="E28">
    <cfRule type="cellIs" dxfId="751" priority="724" operator="equal">
      <formula>MOPV_G</formula>
    </cfRule>
    <cfRule type="cellIs" dxfId="750" priority="725" operator="equal">
      <formula>MOPV_4</formula>
    </cfRule>
    <cfRule type="cellIs" dxfId="749" priority="726" operator="equal">
      <formula>MOPV_1</formula>
    </cfRule>
    <cfRule type="cellIs" dxfId="748" priority="727" operator="equal">
      <formula>MOPV_3</formula>
    </cfRule>
    <cfRule type="cellIs" dxfId="747" priority="728" operator="equal">
      <formula>MOPV_Dop</formula>
    </cfRule>
    <cfRule type="cellIs" dxfId="746" priority="729" operator="equal">
      <formula>MOPV_2</formula>
    </cfRule>
  </conditionalFormatting>
  <conditionalFormatting sqref="E38">
    <cfRule type="cellIs" dxfId="745" priority="712" operator="equal">
      <formula>MOPV_G</formula>
    </cfRule>
    <cfRule type="cellIs" dxfId="744" priority="713" operator="equal">
      <formula>MOPV_4</formula>
    </cfRule>
    <cfRule type="cellIs" dxfId="743" priority="714" operator="equal">
      <formula>MOPV_1</formula>
    </cfRule>
    <cfRule type="cellIs" dxfId="742" priority="715" operator="equal">
      <formula>MOPV_3</formula>
    </cfRule>
    <cfRule type="cellIs" dxfId="741" priority="716" operator="equal">
      <formula>MOPV_Dop</formula>
    </cfRule>
    <cfRule type="cellIs" dxfId="740" priority="717" operator="equal">
      <formula>MOPV_2</formula>
    </cfRule>
  </conditionalFormatting>
  <conditionalFormatting sqref="O38">
    <cfRule type="cellIs" dxfId="739" priority="700" operator="equal">
      <formula>MOPV_G</formula>
    </cfRule>
    <cfRule type="cellIs" dxfId="738" priority="701" operator="equal">
      <formula>MOPV_4</formula>
    </cfRule>
    <cfRule type="cellIs" dxfId="737" priority="702" operator="equal">
      <formula>MOPV_1</formula>
    </cfRule>
    <cfRule type="cellIs" dxfId="736" priority="703" operator="equal">
      <formula>MOPV_3</formula>
    </cfRule>
    <cfRule type="cellIs" dxfId="735" priority="704" operator="equal">
      <formula>MOPV_Dop</formula>
    </cfRule>
    <cfRule type="cellIs" dxfId="734" priority="705" operator="equal">
      <formula>MOPV_2</formula>
    </cfRule>
  </conditionalFormatting>
  <conditionalFormatting sqref="P27">
    <cfRule type="cellIs" dxfId="733" priority="688" operator="equal">
      <formula>MOPV_G</formula>
    </cfRule>
    <cfRule type="cellIs" dxfId="732" priority="689" operator="equal">
      <formula>MOPV_4</formula>
    </cfRule>
    <cfRule type="cellIs" dxfId="731" priority="690" operator="equal">
      <formula>MOPV_1</formula>
    </cfRule>
    <cfRule type="cellIs" dxfId="730" priority="691" operator="equal">
      <formula>MOPV_3</formula>
    </cfRule>
    <cfRule type="cellIs" dxfId="729" priority="692" operator="equal">
      <formula>MOPV_Dop</formula>
    </cfRule>
    <cfRule type="cellIs" dxfId="728" priority="693" operator="equal">
      <formula>MOPV_2</formula>
    </cfRule>
  </conditionalFormatting>
  <conditionalFormatting sqref="P39">
    <cfRule type="cellIs" dxfId="727" priority="676" operator="equal">
      <formula>MOPV_G</formula>
    </cfRule>
    <cfRule type="cellIs" dxfId="726" priority="677" operator="equal">
      <formula>MOPV_4</formula>
    </cfRule>
    <cfRule type="cellIs" dxfId="725" priority="678" operator="equal">
      <formula>MOPV_1</formula>
    </cfRule>
    <cfRule type="cellIs" dxfId="724" priority="679" operator="equal">
      <formula>MOPV_3</formula>
    </cfRule>
    <cfRule type="cellIs" dxfId="723" priority="680" operator="equal">
      <formula>MOPV_Dop</formula>
    </cfRule>
    <cfRule type="cellIs" dxfId="722" priority="681" operator="equal">
      <formula>MOPV_2</formula>
    </cfRule>
  </conditionalFormatting>
  <conditionalFormatting sqref="D39">
    <cfRule type="cellIs" dxfId="721" priority="664" operator="equal">
      <formula>MOPV_G</formula>
    </cfRule>
    <cfRule type="cellIs" dxfId="720" priority="665" operator="equal">
      <formula>MOPV_4</formula>
    </cfRule>
    <cfRule type="cellIs" dxfId="719" priority="666" operator="equal">
      <formula>MOPV_1</formula>
    </cfRule>
    <cfRule type="cellIs" dxfId="718" priority="667" operator="equal">
      <formula>MOPV_3</formula>
    </cfRule>
    <cfRule type="cellIs" dxfId="717" priority="668" operator="equal">
      <formula>MOPV_Dop</formula>
    </cfRule>
    <cfRule type="cellIs" dxfId="716" priority="669" operator="equal">
      <formula>MOPV_2</formula>
    </cfRule>
  </conditionalFormatting>
  <conditionalFormatting sqref="D27">
    <cfRule type="cellIs" dxfId="715" priority="652" operator="equal">
      <formula>MOPV_G</formula>
    </cfRule>
    <cfRule type="cellIs" dxfId="714" priority="653" operator="equal">
      <formula>MOPV_4</formula>
    </cfRule>
    <cfRule type="cellIs" dxfId="713" priority="654" operator="equal">
      <formula>MOPV_1</formula>
    </cfRule>
    <cfRule type="cellIs" dxfId="712" priority="655" operator="equal">
      <formula>MOPV_3</formula>
    </cfRule>
    <cfRule type="cellIs" dxfId="711" priority="656" operator="equal">
      <formula>MOPV_Dop</formula>
    </cfRule>
    <cfRule type="cellIs" dxfId="710" priority="657" operator="equal">
      <formula>MOPV_2</formula>
    </cfRule>
  </conditionalFormatting>
  <conditionalFormatting sqref="Q26">
    <cfRule type="cellIs" dxfId="709" priority="640" operator="equal">
      <formula>MOPV_G</formula>
    </cfRule>
    <cfRule type="cellIs" dxfId="708" priority="641" operator="equal">
      <formula>MOPV_4</formula>
    </cfRule>
    <cfRule type="cellIs" dxfId="707" priority="642" operator="equal">
      <formula>MOPV_1</formula>
    </cfRule>
    <cfRule type="cellIs" dxfId="706" priority="643" operator="equal">
      <formula>MOPV_3</formula>
    </cfRule>
    <cfRule type="cellIs" dxfId="705" priority="644" operator="equal">
      <formula>MOPV_Dop</formula>
    </cfRule>
    <cfRule type="cellIs" dxfId="704" priority="645" operator="equal">
      <formula>MOPV_2</formula>
    </cfRule>
  </conditionalFormatting>
  <conditionalFormatting sqref="Q40">
    <cfRule type="cellIs" dxfId="703" priority="628" operator="equal">
      <formula>MOPV_G</formula>
    </cfRule>
    <cfRule type="cellIs" dxfId="702" priority="629" operator="equal">
      <formula>MOPV_4</formula>
    </cfRule>
    <cfRule type="cellIs" dxfId="701" priority="630" operator="equal">
      <formula>MOPV_1</formula>
    </cfRule>
    <cfRule type="cellIs" dxfId="700" priority="631" operator="equal">
      <formula>MOPV_3</formula>
    </cfRule>
    <cfRule type="cellIs" dxfId="699" priority="632" operator="equal">
      <formula>MOPV_Dop</formula>
    </cfRule>
    <cfRule type="cellIs" dxfId="698" priority="633" operator="equal">
      <formula>MOPV_2</formula>
    </cfRule>
  </conditionalFormatting>
  <conditionalFormatting sqref="C40">
    <cfRule type="cellIs" dxfId="697" priority="616" operator="equal">
      <formula>MOPV_G</formula>
    </cfRule>
    <cfRule type="cellIs" dxfId="696" priority="617" operator="equal">
      <formula>MOPV_4</formula>
    </cfRule>
    <cfRule type="cellIs" dxfId="695" priority="618" operator="equal">
      <formula>MOPV_1</formula>
    </cfRule>
    <cfRule type="cellIs" dxfId="694" priority="619" operator="equal">
      <formula>MOPV_3</formula>
    </cfRule>
    <cfRule type="cellIs" dxfId="693" priority="620" operator="equal">
      <formula>MOPV_Dop</formula>
    </cfRule>
    <cfRule type="cellIs" dxfId="692" priority="621" operator="equal">
      <formula>MOPV_2</formula>
    </cfRule>
  </conditionalFormatting>
  <conditionalFormatting sqref="C26">
    <cfRule type="cellIs" dxfId="691" priority="610" operator="equal">
      <formula>MOPV_G</formula>
    </cfRule>
    <cfRule type="cellIs" dxfId="690" priority="611" operator="equal">
      <formula>MOPV_4</formula>
    </cfRule>
    <cfRule type="cellIs" dxfId="689" priority="612" operator="equal">
      <formula>MOPV_1</formula>
    </cfRule>
    <cfRule type="cellIs" dxfId="688" priority="613" operator="equal">
      <formula>MOPV_3</formula>
    </cfRule>
    <cfRule type="cellIs" dxfId="687" priority="614" operator="equal">
      <formula>MOPV_Dop</formula>
    </cfRule>
    <cfRule type="cellIs" dxfId="686" priority="615" operator="equal">
      <formula>MOPV_2</formula>
    </cfRule>
  </conditionalFormatting>
  <conditionalFormatting sqref="R25">
    <cfRule type="cellIs" dxfId="685" priority="592" operator="equal">
      <formula>MOPV_G</formula>
    </cfRule>
    <cfRule type="cellIs" dxfId="684" priority="593" operator="equal">
      <formula>MOPV_4</formula>
    </cfRule>
    <cfRule type="cellIs" dxfId="683" priority="594" operator="equal">
      <formula>MOPV_1</formula>
    </cfRule>
    <cfRule type="cellIs" dxfId="682" priority="595" operator="equal">
      <formula>MOPV_3</formula>
    </cfRule>
    <cfRule type="cellIs" dxfId="681" priority="596" operator="equal">
      <formula>MOPV_Dop</formula>
    </cfRule>
    <cfRule type="cellIs" dxfId="680" priority="597" operator="equal">
      <formula>MOPV_2</formula>
    </cfRule>
  </conditionalFormatting>
  <conditionalFormatting sqref="B25">
    <cfRule type="cellIs" dxfId="679" priority="586" operator="equal">
      <formula>MOPV_G</formula>
    </cfRule>
    <cfRule type="cellIs" dxfId="678" priority="587" operator="equal">
      <formula>MOPV_4</formula>
    </cfRule>
    <cfRule type="cellIs" dxfId="677" priority="588" operator="equal">
      <formula>MOPV_1</formula>
    </cfRule>
    <cfRule type="cellIs" dxfId="676" priority="589" operator="equal">
      <formula>MOPV_3</formula>
    </cfRule>
    <cfRule type="cellIs" dxfId="675" priority="590" operator="equal">
      <formula>MOPV_Dop</formula>
    </cfRule>
    <cfRule type="cellIs" dxfId="674" priority="591" operator="equal">
      <formula>MOPV_2</formula>
    </cfRule>
  </conditionalFormatting>
  <conditionalFormatting sqref="B41">
    <cfRule type="cellIs" dxfId="673" priority="574" operator="equal">
      <formula>MOPV_G</formula>
    </cfRule>
    <cfRule type="cellIs" dxfId="672" priority="575" operator="equal">
      <formula>MOPV_4</formula>
    </cfRule>
    <cfRule type="cellIs" dxfId="671" priority="576" operator="equal">
      <formula>MOPV_1</formula>
    </cfRule>
    <cfRule type="cellIs" dxfId="670" priority="577" operator="equal">
      <formula>MOPV_3</formula>
    </cfRule>
    <cfRule type="cellIs" dxfId="669" priority="578" operator="equal">
      <formula>MOPV_Dop</formula>
    </cfRule>
    <cfRule type="cellIs" dxfId="668" priority="579" operator="equal">
      <formula>MOPV_2</formula>
    </cfRule>
  </conditionalFormatting>
  <conditionalFormatting sqref="R41">
    <cfRule type="cellIs" dxfId="667" priority="562" operator="equal">
      <formula>MOPV_G</formula>
    </cfRule>
    <cfRule type="cellIs" dxfId="666" priority="563" operator="equal">
      <formula>MOPV_4</formula>
    </cfRule>
    <cfRule type="cellIs" dxfId="665" priority="564" operator="equal">
      <formula>MOPV_1</formula>
    </cfRule>
    <cfRule type="cellIs" dxfId="664" priority="565" operator="equal">
      <formula>MOPV_3</formula>
    </cfRule>
    <cfRule type="cellIs" dxfId="663" priority="566" operator="equal">
      <formula>MOPV_Dop</formula>
    </cfRule>
    <cfRule type="cellIs" dxfId="662" priority="567" operator="equal">
      <formula>MOPV_2</formula>
    </cfRule>
  </conditionalFormatting>
  <conditionalFormatting sqref="C25">
    <cfRule type="expression" dxfId="661" priority="547">
      <formula>$B$25=MOPV_Dop</formula>
    </cfRule>
    <cfRule type="expression" dxfId="660" priority="548">
      <formula>$B$25=MOPV_G</formula>
    </cfRule>
    <cfRule type="expression" dxfId="659" priority="549">
      <formula>$B$25=MOPV_4</formula>
    </cfRule>
    <cfRule type="expression" dxfId="658" priority="550">
      <formula>$B$25=MOPV_2</formula>
    </cfRule>
    <cfRule type="expression" dxfId="657" priority="551">
      <formula>$B$25=MOPV_1</formula>
    </cfRule>
    <cfRule type="expression" dxfId="656" priority="555">
      <formula>$B$25=MOPV_3</formula>
    </cfRule>
  </conditionalFormatting>
  <conditionalFormatting sqref="D25:H25">
    <cfRule type="expression" dxfId="655" priority="541">
      <formula>$B$25=MOPV_Dop</formula>
    </cfRule>
    <cfRule type="expression" dxfId="654" priority="542">
      <formula>$B$25=MOPV_G</formula>
    </cfRule>
    <cfRule type="expression" dxfId="653" priority="543">
      <formula>$B$25=MOPV_4</formula>
    </cfRule>
    <cfRule type="expression" dxfId="652" priority="544">
      <formula>$B$25=MOPV_2</formula>
    </cfRule>
    <cfRule type="expression" dxfId="651" priority="545">
      <formula>$B$25=MOPV_1</formula>
    </cfRule>
    <cfRule type="expression" dxfId="650" priority="546">
      <formula>$B$25=MOPV_3</formula>
    </cfRule>
  </conditionalFormatting>
  <conditionalFormatting sqref="I25">
    <cfRule type="expression" dxfId="649" priority="529">
      <formula>$B$25=MOPV_Dop</formula>
    </cfRule>
    <cfRule type="expression" dxfId="648" priority="530">
      <formula>$B$25=MOPV_G</formula>
    </cfRule>
    <cfRule type="expression" dxfId="647" priority="531">
      <formula>$B$25=MOPV_4</formula>
    </cfRule>
    <cfRule type="expression" dxfId="646" priority="532">
      <formula>$B$25=MOPV_2</formula>
    </cfRule>
    <cfRule type="expression" dxfId="645" priority="533">
      <formula>$B$25=MOPV_1</formula>
    </cfRule>
    <cfRule type="expression" dxfId="644" priority="534">
      <formula>$B$25=MOPV_3</formula>
    </cfRule>
  </conditionalFormatting>
  <conditionalFormatting sqref="B26:B32">
    <cfRule type="expression" dxfId="643" priority="523">
      <formula>$B$25=MOPV_Dop</formula>
    </cfRule>
    <cfRule type="expression" dxfId="642" priority="524">
      <formula>$B$25=MOPV_G</formula>
    </cfRule>
    <cfRule type="expression" dxfId="641" priority="525">
      <formula>$B$25=MOPV_4</formula>
    </cfRule>
    <cfRule type="expression" dxfId="640" priority="526">
      <formula>$B$25=MOPV_2</formula>
    </cfRule>
    <cfRule type="expression" dxfId="639" priority="527">
      <formula>$B$25=MOPV_1</formula>
    </cfRule>
    <cfRule type="expression" dxfId="638" priority="528">
      <formula>$B$25=MOPV_3</formula>
    </cfRule>
  </conditionalFormatting>
  <conditionalFormatting sqref="C41">
    <cfRule type="expression" dxfId="637" priority="511">
      <formula>$B$41=MOPV_Dop</formula>
    </cfRule>
    <cfRule type="expression" dxfId="636" priority="512">
      <formula>$B$41=MOPV_G</formula>
    </cfRule>
    <cfRule type="expression" dxfId="635" priority="513">
      <formula>$B$41=MOPV_4</formula>
    </cfRule>
    <cfRule type="expression" dxfId="634" priority="514">
      <formula>$B$41=MOPV_2</formula>
    </cfRule>
    <cfRule type="expression" dxfId="633" priority="515">
      <formula>$B$41=MOPV_1</formula>
    </cfRule>
    <cfRule type="expression" dxfId="632" priority="516">
      <formula>$B$41=MOPV_3</formula>
    </cfRule>
  </conditionalFormatting>
  <conditionalFormatting sqref="B34">
    <cfRule type="expression" dxfId="631" priority="517">
      <formula>B41=MOPV_Dop</formula>
    </cfRule>
    <cfRule type="expression" dxfId="630" priority="518">
      <formula>B41=MOPV_G</formula>
    </cfRule>
    <cfRule type="expression" dxfId="629" priority="519">
      <formula>B41=MOPV_4</formula>
    </cfRule>
    <cfRule type="expression" dxfId="628" priority="520">
      <formula>B41=MOPV_2</formula>
    </cfRule>
    <cfRule type="expression" dxfId="627" priority="521">
      <formula>B41=MOPV_1</formula>
    </cfRule>
    <cfRule type="expression" dxfId="626" priority="522">
      <formula>B41=MOPV_3</formula>
    </cfRule>
  </conditionalFormatting>
  <conditionalFormatting sqref="B35:B40">
    <cfRule type="expression" dxfId="625" priority="499">
      <formula>$B$41=MOPV_Dop</formula>
    </cfRule>
    <cfRule type="expression" dxfId="624" priority="500">
      <formula>$B$41=MOPV_G</formula>
    </cfRule>
    <cfRule type="expression" dxfId="623" priority="501">
      <formula>$B$41=MOPV_4</formula>
    </cfRule>
    <cfRule type="expression" dxfId="622" priority="502">
      <formula>$B$41=MOPV_2</formula>
    </cfRule>
    <cfRule type="expression" dxfId="621" priority="503">
      <formula>$B$41=MOPV_1</formula>
    </cfRule>
    <cfRule type="expression" dxfId="620" priority="504">
      <formula>$B$41=MOPV_3</formula>
    </cfRule>
  </conditionalFormatting>
  <conditionalFormatting sqref="D41:I41">
    <cfRule type="expression" dxfId="619" priority="493">
      <formula>$B$41=MOPV_Dop</formula>
    </cfRule>
    <cfRule type="expression" dxfId="618" priority="494">
      <formula>$B$41=MOPV_G</formula>
    </cfRule>
    <cfRule type="expression" dxfId="617" priority="495">
      <formula>$B$41=MOPV_4</formula>
    </cfRule>
    <cfRule type="expression" dxfId="616" priority="496">
      <formula>$B$41=MOPV_2</formula>
    </cfRule>
    <cfRule type="expression" dxfId="615" priority="497">
      <formula>$B$41=MOPV_1</formula>
    </cfRule>
    <cfRule type="expression" dxfId="614" priority="498">
      <formula>$B$41=MOPV_3</formula>
    </cfRule>
  </conditionalFormatting>
  <conditionalFormatting sqref="C27">
    <cfRule type="expression" dxfId="613" priority="487">
      <formula>$C$26=MOPV_Dop</formula>
    </cfRule>
    <cfRule type="expression" dxfId="612" priority="488">
      <formula>$C$26=MOPV_G</formula>
    </cfRule>
    <cfRule type="expression" dxfId="611" priority="489">
      <formula>$C$26=MOPV_4</formula>
    </cfRule>
    <cfRule type="expression" dxfId="610" priority="490">
      <formula>$C$26=MOPV_2</formula>
    </cfRule>
    <cfRule type="expression" dxfId="609" priority="491">
      <formula>$C$26=MOPV_1</formula>
    </cfRule>
    <cfRule type="expression" dxfId="608" priority="492">
      <formula>$C$26=MOPV_3</formula>
    </cfRule>
  </conditionalFormatting>
  <conditionalFormatting sqref="C28:C32">
    <cfRule type="expression" dxfId="607" priority="481">
      <formula>$C$26=MOPV_Dop</formula>
    </cfRule>
    <cfRule type="expression" dxfId="606" priority="482">
      <formula>$C$26=MOPV_G</formula>
    </cfRule>
    <cfRule type="expression" dxfId="605" priority="483">
      <formula>$C$26=MOPV_4</formula>
    </cfRule>
    <cfRule type="expression" dxfId="604" priority="484">
      <formula>$C$26=MOPV_2</formula>
    </cfRule>
    <cfRule type="expression" dxfId="603" priority="485">
      <formula>$C$26=MOPV_1</formula>
    </cfRule>
    <cfRule type="expression" dxfId="602" priority="486">
      <formula>$C$26=MOPV_3</formula>
    </cfRule>
  </conditionalFormatting>
  <conditionalFormatting sqref="D26">
    <cfRule type="expression" dxfId="601" priority="475">
      <formula>$C$26=MOPV_Dop</formula>
    </cfRule>
    <cfRule type="expression" dxfId="600" priority="476">
      <formula>$C$26=MOPV_G</formula>
    </cfRule>
    <cfRule type="expression" dxfId="599" priority="477">
      <formula>$C$26=MOPV_4</formula>
    </cfRule>
    <cfRule type="expression" dxfId="598" priority="478">
      <formula>$C$26=MOPV_2</formula>
    </cfRule>
    <cfRule type="expression" dxfId="597" priority="479">
      <formula>$C$26=MOPV_1</formula>
    </cfRule>
    <cfRule type="expression" dxfId="596" priority="480">
      <formula>$C$26=MOPV_3</formula>
    </cfRule>
  </conditionalFormatting>
  <conditionalFormatting sqref="E26:I26">
    <cfRule type="expression" dxfId="595" priority="469">
      <formula>$C$26=MOPV_Dop</formula>
    </cfRule>
    <cfRule type="expression" dxfId="594" priority="470">
      <formula>$C$26=MOPV_G</formula>
    </cfRule>
    <cfRule type="expression" dxfId="593" priority="471">
      <formula>$C$26=MOPV_4</formula>
    </cfRule>
    <cfRule type="expression" dxfId="592" priority="472">
      <formula>$C$26=MOPV_2</formula>
    </cfRule>
    <cfRule type="expression" dxfId="591" priority="473">
      <formula>$C$26=MOPV_1</formula>
    </cfRule>
    <cfRule type="expression" dxfId="590" priority="474">
      <formula>$C$26=MOPV_3</formula>
    </cfRule>
  </conditionalFormatting>
  <conditionalFormatting sqref="R26">
    <cfRule type="expression" dxfId="589" priority="463">
      <formula>$R$25=MOPV_Dop</formula>
    </cfRule>
    <cfRule type="expression" dxfId="588" priority="464">
      <formula>$R$25=MOPV_G</formula>
    </cfRule>
    <cfRule type="expression" dxfId="587" priority="465">
      <formula>$R$25=MOPV_4</formula>
    </cfRule>
    <cfRule type="expression" dxfId="586" priority="466">
      <formula>$R$25=MOPV_2</formula>
    </cfRule>
    <cfRule type="expression" dxfId="585" priority="467">
      <formula>$R$25=MOPV_1</formula>
    </cfRule>
    <cfRule type="expression" dxfId="584" priority="468">
      <formula>$R$25=MOPV_3</formula>
    </cfRule>
  </conditionalFormatting>
  <conditionalFormatting sqref="R27:R32">
    <cfRule type="expression" dxfId="583" priority="457">
      <formula>$R$25=MOPV_Dop</formula>
    </cfRule>
    <cfRule type="expression" dxfId="582" priority="458">
      <formula>$R$25=MOPV_G</formula>
    </cfRule>
    <cfRule type="expression" dxfId="581" priority="459">
      <formula>$R$25=MOPV_4</formula>
    </cfRule>
    <cfRule type="expression" dxfId="580" priority="460">
      <formula>$R$25=MOPV_2</formula>
    </cfRule>
    <cfRule type="expression" dxfId="579" priority="461">
      <formula>$R$25=MOPV_1</formula>
    </cfRule>
    <cfRule type="expression" dxfId="578" priority="462">
      <formula>$R$25=MOPV_3</formula>
    </cfRule>
  </conditionalFormatting>
  <conditionalFormatting sqref="Q25">
    <cfRule type="expression" dxfId="577" priority="451">
      <formula>$R$25=MOPV_Dop</formula>
    </cfRule>
    <cfRule type="expression" dxfId="576" priority="452">
      <formula>$R$25=MOPV_G</formula>
    </cfRule>
    <cfRule type="expression" dxfId="575" priority="453">
      <formula>$R$25=MOPV_4</formula>
    </cfRule>
    <cfRule type="expression" dxfId="574" priority="454">
      <formula>$R$25=MOPV_2</formula>
    </cfRule>
    <cfRule type="expression" dxfId="573" priority="455">
      <formula>$R$25=MOPV_1</formula>
    </cfRule>
    <cfRule type="expression" dxfId="572" priority="456">
      <formula>$R$25=MOPV_3</formula>
    </cfRule>
  </conditionalFormatting>
  <conditionalFormatting sqref="K25:P25">
    <cfRule type="expression" dxfId="571" priority="445">
      <formula>$R$25=MOPV_Dop</formula>
    </cfRule>
    <cfRule type="expression" dxfId="570" priority="446">
      <formula>$R$25=MOPV_G</formula>
    </cfRule>
    <cfRule type="expression" dxfId="569" priority="447">
      <formula>$R$25=MOPV_4</formula>
    </cfRule>
    <cfRule type="expression" dxfId="568" priority="448">
      <formula>$R$25=MOPV_2</formula>
    </cfRule>
    <cfRule type="expression" dxfId="567" priority="449">
      <formula>$R$25=MOPV_1</formula>
    </cfRule>
    <cfRule type="expression" dxfId="566" priority="450">
      <formula>$R$25=MOPV_3</formula>
    </cfRule>
  </conditionalFormatting>
  <conditionalFormatting sqref="L34">
    <cfRule type="expression" dxfId="565" priority="439">
      <formula>$L$35=MOPV_Dop</formula>
    </cfRule>
    <cfRule type="expression" dxfId="564" priority="440">
      <formula>$L$35=MOPV_G</formula>
    </cfRule>
    <cfRule type="expression" dxfId="563" priority="441">
      <formula>$L$35=MOPV_4</formula>
    </cfRule>
    <cfRule type="expression" dxfId="562" priority="442">
      <formula>$L$35=MOPV_2</formula>
    </cfRule>
    <cfRule type="expression" dxfId="561" priority="443">
      <formula>$L$35=MOPV_1</formula>
    </cfRule>
    <cfRule type="expression" dxfId="560" priority="444">
      <formula>$L$35=MOPV_3</formula>
    </cfRule>
  </conditionalFormatting>
  <conditionalFormatting sqref="K35">
    <cfRule type="expression" dxfId="559" priority="433">
      <formula>$L$35=MOPV_Dop</formula>
    </cfRule>
    <cfRule type="expression" dxfId="558" priority="434">
      <formula>$L$35=MOPV_G</formula>
    </cfRule>
    <cfRule type="expression" dxfId="557" priority="435">
      <formula>$L$35=MOPV_4</formula>
    </cfRule>
    <cfRule type="expression" dxfId="556" priority="436">
      <formula>$L$35=MOPV_2</formula>
    </cfRule>
    <cfRule type="expression" dxfId="555" priority="437">
      <formula>$L$35=MOPV_1</formula>
    </cfRule>
    <cfRule type="expression" dxfId="554" priority="438">
      <formula>$L$35=MOPV_3</formula>
    </cfRule>
  </conditionalFormatting>
  <conditionalFormatting sqref="H32">
    <cfRule type="expression" dxfId="553" priority="427">
      <formula>$H$31=MOPV_Dop</formula>
    </cfRule>
    <cfRule type="expression" dxfId="552" priority="428">
      <formula>$H$31=MOPV_G</formula>
    </cfRule>
    <cfRule type="expression" dxfId="551" priority="429">
      <formula>$H$31=MOPV_4</formula>
    </cfRule>
    <cfRule type="expression" dxfId="550" priority="430">
      <formula>$H$31=MOPV_2</formula>
    </cfRule>
    <cfRule type="expression" dxfId="549" priority="431">
      <formula>$H$31=MOPV_1</formula>
    </cfRule>
    <cfRule type="expression" dxfId="548" priority="432">
      <formula>$H$31=MOPV_3</formula>
    </cfRule>
  </conditionalFormatting>
  <conditionalFormatting sqref="I31">
    <cfRule type="expression" dxfId="547" priority="421">
      <formula>$H$31=MOPV_Dop</formula>
    </cfRule>
    <cfRule type="expression" dxfId="546" priority="422">
      <formula>$H$31=MOPV_G</formula>
    </cfRule>
    <cfRule type="expression" dxfId="545" priority="423">
      <formula>$H$31=MOPV_4</formula>
    </cfRule>
    <cfRule type="expression" dxfId="544" priority="424">
      <formula>$H$31=MOPV_2</formula>
    </cfRule>
    <cfRule type="expression" dxfId="543" priority="425">
      <formula>$H$31=MOPV_1</formula>
    </cfRule>
    <cfRule type="expression" dxfId="542" priority="426">
      <formula>$H$31=MOPV_3</formula>
    </cfRule>
  </conditionalFormatting>
  <conditionalFormatting sqref="F36">
    <cfRule type="expression" dxfId="541" priority="415">
      <formula>$F$37=MOPV_Dop</formula>
    </cfRule>
    <cfRule type="expression" dxfId="540" priority="416">
      <formula>$F$37=MOPV_G</formula>
    </cfRule>
    <cfRule type="expression" dxfId="539" priority="417">
      <formula>$F$37=MOPV_4</formula>
    </cfRule>
    <cfRule type="expression" dxfId="538" priority="418">
      <formula>$F$37=MOPV_2</formula>
    </cfRule>
    <cfRule type="expression" dxfId="537" priority="419">
      <formula>$F$37=MOPV_1</formula>
    </cfRule>
    <cfRule type="expression" dxfId="536" priority="420">
      <formula>$F$37=MOPV_3</formula>
    </cfRule>
  </conditionalFormatting>
  <conditionalFormatting sqref="F34:F35">
    <cfRule type="expression" dxfId="535" priority="409">
      <formula>$F$37=MOPV_Dop</formula>
    </cfRule>
    <cfRule type="expression" dxfId="534" priority="410">
      <formula>$F$37=MOPV_G</formula>
    </cfRule>
    <cfRule type="expression" dxfId="533" priority="411">
      <formula>$F$37=MOPV_4</formula>
    </cfRule>
    <cfRule type="expression" dxfId="532" priority="412">
      <formula>$F$37=MOPV_2</formula>
    </cfRule>
    <cfRule type="expression" dxfId="531" priority="413">
      <formula>$F$37=MOPV_1</formula>
    </cfRule>
    <cfRule type="expression" dxfId="530" priority="414">
      <formula>$F$37=MOPV_3</formula>
    </cfRule>
  </conditionalFormatting>
  <conditionalFormatting sqref="G37:I37">
    <cfRule type="expression" dxfId="529" priority="403">
      <formula>$F$37=MOPV_Dop</formula>
    </cfRule>
    <cfRule type="expression" dxfId="528" priority="404">
      <formula>$F$37=MOPV_G</formula>
    </cfRule>
    <cfRule type="expression" dxfId="527" priority="405">
      <formula>$F$37=MOPV_4</formula>
    </cfRule>
    <cfRule type="expression" dxfId="526" priority="406">
      <formula>$F$37=MOPV_2</formula>
    </cfRule>
    <cfRule type="expression" dxfId="525" priority="407">
      <formula>$F$37=MOPV_1</formula>
    </cfRule>
    <cfRule type="expression" dxfId="524" priority="408">
      <formula>$F$37=MOPV_3</formula>
    </cfRule>
  </conditionalFormatting>
  <conditionalFormatting sqref="P28">
    <cfRule type="expression" dxfId="523" priority="397">
      <formula>$P$27=MOPV_Dop</formula>
    </cfRule>
    <cfRule type="expression" dxfId="522" priority="398">
      <formula>$P$27=MOPV_G</formula>
    </cfRule>
    <cfRule type="expression" dxfId="521" priority="399">
      <formula>$P$27=MOPV_4</formula>
    </cfRule>
    <cfRule type="expression" dxfId="520" priority="400">
      <formula>$P$27=MOPV_2</formula>
    </cfRule>
    <cfRule type="expression" dxfId="519" priority="401">
      <formula>$P$27=MOPV_1</formula>
    </cfRule>
    <cfRule type="expression" dxfId="518" priority="402">
      <formula>$P$27=MOPV_3</formula>
    </cfRule>
  </conditionalFormatting>
  <conditionalFormatting sqref="P29:P32">
    <cfRule type="expression" dxfId="517" priority="391">
      <formula>$P$27=MOPV_Dop</formula>
    </cfRule>
    <cfRule type="expression" dxfId="516" priority="392">
      <formula>$P$27=MOPV_G</formula>
    </cfRule>
    <cfRule type="expression" dxfId="515" priority="393">
      <formula>$P$27=MOPV_4</formula>
    </cfRule>
    <cfRule type="expression" dxfId="514" priority="394">
      <formula>$P$27=MOPV_2</formula>
    </cfRule>
    <cfRule type="expression" dxfId="513" priority="395">
      <formula>$P$27=MOPV_1</formula>
    </cfRule>
    <cfRule type="expression" dxfId="512" priority="396">
      <formula>$P$27=MOPV_3</formula>
    </cfRule>
  </conditionalFormatting>
  <conditionalFormatting sqref="O27">
    <cfRule type="expression" dxfId="511" priority="385">
      <formula>$P$27=MOPV_Dop</formula>
    </cfRule>
    <cfRule type="expression" dxfId="510" priority="386">
      <formula>$P$27=MOPV_G</formula>
    </cfRule>
    <cfRule type="expression" dxfId="509" priority="387">
      <formula>$P$27=MOPV_4</formula>
    </cfRule>
    <cfRule type="expression" dxfId="508" priority="388">
      <formula>$P$27=MOPV_2</formula>
    </cfRule>
    <cfRule type="expression" dxfId="507" priority="389">
      <formula>$P$27=MOPV_1</formula>
    </cfRule>
    <cfRule type="expression" dxfId="506" priority="390">
      <formula>$P$27=MOPV_3</formula>
    </cfRule>
  </conditionalFormatting>
  <conditionalFormatting sqref="K27:N27">
    <cfRule type="expression" dxfId="505" priority="379">
      <formula>$P$27=MOPV_Dop</formula>
    </cfRule>
    <cfRule type="expression" dxfId="504" priority="380">
      <formula>$P$27=MOPV_G</formula>
    </cfRule>
    <cfRule type="expression" dxfId="503" priority="381">
      <formula>$P$27=MOPV_4</formula>
    </cfRule>
    <cfRule type="expression" dxfId="502" priority="382">
      <formula>$P$27=MOPV_2</formula>
    </cfRule>
    <cfRule type="expression" dxfId="501" priority="383">
      <formula>$P$27=MOPV_1</formula>
    </cfRule>
    <cfRule type="expression" dxfId="500" priority="384">
      <formula>$P$27=MOPV_3</formula>
    </cfRule>
  </conditionalFormatting>
  <conditionalFormatting sqref="Q27">
    <cfRule type="expression" dxfId="499" priority="373">
      <formula>$Q$26=MOPV_Dop</formula>
    </cfRule>
    <cfRule type="expression" dxfId="498" priority="374">
      <formula>$Q$26=MOPV_G</formula>
    </cfRule>
    <cfRule type="expression" dxfId="497" priority="375">
      <formula>$Q$26=MOPV_4</formula>
    </cfRule>
    <cfRule type="expression" dxfId="496" priority="376">
      <formula>$Q$26=MOPV_2</formula>
    </cfRule>
    <cfRule type="expression" dxfId="495" priority="377">
      <formula>$Q$26=MOPV_1</formula>
    </cfRule>
    <cfRule type="expression" dxfId="494" priority="378">
      <formula>$Q$26=MOPV_3</formula>
    </cfRule>
  </conditionalFormatting>
  <conditionalFormatting sqref="Q28:Q32">
    <cfRule type="expression" dxfId="493" priority="367">
      <formula>$Q$26=MOPV_Dop</formula>
    </cfRule>
    <cfRule type="expression" dxfId="492" priority="368">
      <formula>$Q$26=MOPV_G</formula>
    </cfRule>
    <cfRule type="expression" dxfId="491" priority="369">
      <formula>$Q$26=MOPV_4</formula>
    </cfRule>
    <cfRule type="expression" dxfId="490" priority="370">
      <formula>$Q$26=MOPV_2</formula>
    </cfRule>
    <cfRule type="expression" dxfId="489" priority="371">
      <formula>$Q$26=MOPV_1</formula>
    </cfRule>
    <cfRule type="expression" dxfId="488" priority="372">
      <formula>$Q$26=MOPV_3</formula>
    </cfRule>
  </conditionalFormatting>
  <conditionalFormatting sqref="K26:P26">
    <cfRule type="expression" dxfId="487" priority="361">
      <formula>$Q$26=MOPV_Dop</formula>
    </cfRule>
    <cfRule type="expression" dxfId="486" priority="362">
      <formula>$Q$26=MOPV_G</formula>
    </cfRule>
    <cfRule type="expression" dxfId="485" priority="363">
      <formula>$Q$26=MOPV_4</formula>
    </cfRule>
    <cfRule type="expression" dxfId="484" priority="364">
      <formula>$Q$26=MOPV_2</formula>
    </cfRule>
    <cfRule type="expression" dxfId="483" priority="365">
      <formula>$Q$26=MOPV_1</formula>
    </cfRule>
    <cfRule type="expression" dxfId="482" priority="366">
      <formula>$Q$26=MOPV_3</formula>
    </cfRule>
  </conditionalFormatting>
  <conditionalFormatting sqref="G35">
    <cfRule type="expression" dxfId="481" priority="355">
      <formula>$G$36=MOPV_Dop</formula>
    </cfRule>
    <cfRule type="expression" dxfId="480" priority="356">
      <formula>$G$36=MOPV_G</formula>
    </cfRule>
    <cfRule type="expression" dxfId="479" priority="357">
      <formula>$G$36=MOPV_4</formula>
    </cfRule>
    <cfRule type="expression" dxfId="478" priority="358">
      <formula>$G$36=MOPV_2</formula>
    </cfRule>
    <cfRule type="expression" dxfId="477" priority="359">
      <formula>$G$36=MOPV_1</formula>
    </cfRule>
    <cfRule type="expression" dxfId="476" priority="360">
      <formula>$G$36=MOPV_3</formula>
    </cfRule>
  </conditionalFormatting>
  <conditionalFormatting sqref="G34">
    <cfRule type="expression" dxfId="475" priority="349">
      <formula>$G$36=MOPV_Dop</formula>
    </cfRule>
    <cfRule type="expression" dxfId="474" priority="350">
      <formula>$G$36=MOPV_G</formula>
    </cfRule>
    <cfRule type="expression" dxfId="473" priority="351">
      <formula>$G$36=MOPV_4</formula>
    </cfRule>
    <cfRule type="expression" dxfId="472" priority="352">
      <formula>$G$36=MOPV_2</formula>
    </cfRule>
    <cfRule type="expression" dxfId="471" priority="353">
      <formula>$G$36=MOPV_1</formula>
    </cfRule>
    <cfRule type="expression" dxfId="470" priority="354">
      <formula>$G$36=MOPV_3</formula>
    </cfRule>
  </conditionalFormatting>
  <conditionalFormatting sqref="H36">
    <cfRule type="expression" dxfId="469" priority="343">
      <formula>$G$36=MOPV_Dop</formula>
    </cfRule>
    <cfRule type="expression" dxfId="468" priority="344">
      <formula>$G$36=MOPV_G</formula>
    </cfRule>
    <cfRule type="expression" dxfId="467" priority="345">
      <formula>$G$36=MOPV_4</formula>
    </cfRule>
    <cfRule type="expression" dxfId="466" priority="346">
      <formula>$G$36=MOPV_2</formula>
    </cfRule>
    <cfRule type="expression" dxfId="465" priority="347">
      <formula>$G$36=MOPV_1</formula>
    </cfRule>
    <cfRule type="expression" dxfId="464" priority="348">
      <formula>$G$36=MOPV_3</formula>
    </cfRule>
  </conditionalFormatting>
  <conditionalFormatting sqref="I36">
    <cfRule type="expression" dxfId="463" priority="337">
      <formula>$G$36=MOPV_Dop</formula>
    </cfRule>
    <cfRule type="expression" dxfId="462" priority="338">
      <formula>$G$36=MOPV_G</formula>
    </cfRule>
    <cfRule type="expression" dxfId="461" priority="339">
      <formula>$G$36=MOPV_4</formula>
    </cfRule>
    <cfRule type="expression" dxfId="460" priority="340">
      <formula>$G$36=MOPV_2</formula>
    </cfRule>
    <cfRule type="expression" dxfId="459" priority="341">
      <formula>$G$36=MOPV_1</formula>
    </cfRule>
    <cfRule type="expression" dxfId="458" priority="342">
      <formula>$G$36=MOPV_3</formula>
    </cfRule>
  </conditionalFormatting>
  <conditionalFormatting sqref="G31">
    <cfRule type="expression" dxfId="457" priority="331">
      <formula>$G$30=MOPV_Dop</formula>
    </cfRule>
    <cfRule type="expression" dxfId="456" priority="332">
      <formula>$G$30=MOPV_G</formula>
    </cfRule>
    <cfRule type="expression" dxfId="455" priority="333">
      <formula>$G$30=MOPV_4</formula>
    </cfRule>
    <cfRule type="expression" dxfId="454" priority="334">
      <formula>$G$30=MOPV_2</formula>
    </cfRule>
    <cfRule type="expression" dxfId="453" priority="335">
      <formula>$G$30=MOPV_1</formula>
    </cfRule>
    <cfRule type="expression" dxfId="452" priority="336">
      <formula>$G$30=MOPV_3</formula>
    </cfRule>
  </conditionalFormatting>
  <conditionalFormatting sqref="G32">
    <cfRule type="expression" dxfId="451" priority="325">
      <formula>$G$30=MOPV_Dop</formula>
    </cfRule>
    <cfRule type="expression" dxfId="450" priority="326">
      <formula>$G$30=MOPV_G</formula>
    </cfRule>
    <cfRule type="expression" dxfId="449" priority="327">
      <formula>$G$30=MOPV_4</formula>
    </cfRule>
    <cfRule type="expression" dxfId="448" priority="328">
      <formula>$G$30=MOPV_2</formula>
    </cfRule>
    <cfRule type="expression" dxfId="447" priority="329">
      <formula>$G$30=MOPV_1</formula>
    </cfRule>
    <cfRule type="expression" dxfId="446" priority="330">
      <formula>$G$30=MOPV_3</formula>
    </cfRule>
  </conditionalFormatting>
  <conditionalFormatting sqref="H30">
    <cfRule type="expression" dxfId="445" priority="319">
      <formula>$G$30=MOPV_Dop</formula>
    </cfRule>
    <cfRule type="expression" dxfId="444" priority="320">
      <formula>$G$30=MOPV_G</formula>
    </cfRule>
    <cfRule type="expression" dxfId="443" priority="321">
      <formula>$G$30=MOPV_4</formula>
    </cfRule>
    <cfRule type="expression" dxfId="442" priority="322">
      <formula>$G$30=MOPV_2</formula>
    </cfRule>
    <cfRule type="expression" dxfId="441" priority="323">
      <formula>$G$30=MOPV_1</formula>
    </cfRule>
    <cfRule type="expression" dxfId="440" priority="324">
      <formula>$G$30=MOPV_3</formula>
    </cfRule>
  </conditionalFormatting>
  <conditionalFormatting sqref="I30">
    <cfRule type="expression" dxfId="439" priority="313">
      <formula>$G$30=MOPV_Dop</formula>
    </cfRule>
    <cfRule type="expression" dxfId="438" priority="314">
      <formula>$G$30=MOPV_G</formula>
    </cfRule>
    <cfRule type="expression" dxfId="437" priority="315">
      <formula>$G$30=MOPV_4</formula>
    </cfRule>
    <cfRule type="expression" dxfId="436" priority="316">
      <formula>$G$30=MOPV_2</formula>
    </cfRule>
    <cfRule type="expression" dxfId="435" priority="317">
      <formula>$G$30=MOPV_1</formula>
    </cfRule>
    <cfRule type="expression" dxfId="434" priority="318">
      <formula>$G$30=MOPV_3</formula>
    </cfRule>
  </conditionalFormatting>
  <conditionalFormatting sqref="M37">
    <cfRule type="expression" dxfId="433" priority="307">
      <formula>$N$37=MOPV_Dop</formula>
    </cfRule>
    <cfRule type="expression" dxfId="432" priority="308">
      <formula>$N$37=MOPV_G</formula>
    </cfRule>
    <cfRule type="expression" dxfId="431" priority="309">
      <formula>$N$37=MOPV_4</formula>
    </cfRule>
    <cfRule type="expression" dxfId="430" priority="310">
      <formula>$N$37=MOPV_2</formula>
    </cfRule>
    <cfRule type="expression" dxfId="429" priority="311">
      <formula>$N$37=MOPV_1</formula>
    </cfRule>
    <cfRule type="expression" dxfId="428" priority="312">
      <formula>$N$37=MOPV_3</formula>
    </cfRule>
  </conditionalFormatting>
  <conditionalFormatting sqref="K37:L37">
    <cfRule type="expression" dxfId="427" priority="301">
      <formula>$N$37=MOPV_Dop</formula>
    </cfRule>
    <cfRule type="expression" dxfId="426" priority="302">
      <formula>$N$37=MOPV_G</formula>
    </cfRule>
    <cfRule type="expression" dxfId="425" priority="303">
      <formula>$N$37=MOPV_4</formula>
    </cfRule>
    <cfRule type="expression" dxfId="424" priority="304">
      <formula>$N$37=MOPV_2</formula>
    </cfRule>
    <cfRule type="expression" dxfId="423" priority="305">
      <formula>$N$37=MOPV_1</formula>
    </cfRule>
    <cfRule type="expression" dxfId="422" priority="306">
      <formula>$N$37=MOPV_3</formula>
    </cfRule>
  </conditionalFormatting>
  <conditionalFormatting sqref="N34:N36">
    <cfRule type="expression" dxfId="421" priority="295">
      <formula>$N$37=MOPV_Dop</formula>
    </cfRule>
    <cfRule type="expression" dxfId="420" priority="296">
      <formula>$N$37=MOPV_G</formula>
    </cfRule>
    <cfRule type="expression" dxfId="419" priority="297">
      <formula>$N$37=MOPV_4</formula>
    </cfRule>
    <cfRule type="expression" dxfId="418" priority="298">
      <formula>$N$37=MOPV_2</formula>
    </cfRule>
    <cfRule type="expression" dxfId="417" priority="299">
      <formula>$N$37=MOPV_1</formula>
    </cfRule>
    <cfRule type="expression" dxfId="416" priority="300">
      <formula>$N$37=MOPV_3</formula>
    </cfRule>
  </conditionalFormatting>
  <conditionalFormatting sqref="O37">
    <cfRule type="expression" dxfId="415" priority="289">
      <formula>$O$38=MOPV_Dop</formula>
    </cfRule>
    <cfRule type="expression" dxfId="414" priority="290">
      <formula>$O$38=MOPV_G</formula>
    </cfRule>
    <cfRule type="expression" dxfId="413" priority="291">
      <formula>$O$38=MOPV_4</formula>
    </cfRule>
    <cfRule type="expression" dxfId="412" priority="292">
      <formula>$O$38=MOPV_2</formula>
    </cfRule>
    <cfRule type="expression" dxfId="411" priority="293">
      <formula>$O$38=MOPV_1</formula>
    </cfRule>
    <cfRule type="expression" dxfId="410" priority="294">
      <formula>$O$38=MOPV_3</formula>
    </cfRule>
  </conditionalFormatting>
  <conditionalFormatting sqref="O34:O36">
    <cfRule type="expression" dxfId="409" priority="283">
      <formula>$O$38=MOPV_Dop</formula>
    </cfRule>
    <cfRule type="expression" dxfId="408" priority="284">
      <formula>$O$38=MOPV_G</formula>
    </cfRule>
    <cfRule type="expression" dxfId="407" priority="285">
      <formula>$O$38=MOPV_4</formula>
    </cfRule>
    <cfRule type="expression" dxfId="406" priority="286">
      <formula>$O$38=MOPV_2</formula>
    </cfRule>
    <cfRule type="expression" dxfId="405" priority="287">
      <formula>$O$38=MOPV_1</formula>
    </cfRule>
    <cfRule type="expression" dxfId="404" priority="288">
      <formula>$O$38=MOPV_3</formula>
    </cfRule>
  </conditionalFormatting>
  <conditionalFormatting sqref="K38:N38">
    <cfRule type="expression" dxfId="403" priority="277">
      <formula>$O$38=MOPV_Dop</formula>
    </cfRule>
    <cfRule type="expression" dxfId="402" priority="278">
      <formula>$O$38=MOPV_G</formula>
    </cfRule>
    <cfRule type="expression" dxfId="401" priority="279">
      <formula>$O$38=MOPV_4</formula>
    </cfRule>
    <cfRule type="expression" dxfId="400" priority="280">
      <formula>$O$38=MOPV_2</formula>
    </cfRule>
    <cfRule type="expression" dxfId="399" priority="281">
      <formula>$O$38=MOPV_1</formula>
    </cfRule>
    <cfRule type="expression" dxfId="398" priority="282">
      <formula>$O$38=MOPV_3</formula>
    </cfRule>
  </conditionalFormatting>
  <conditionalFormatting sqref="H34">
    <cfRule type="expression" dxfId="397" priority="271">
      <formula>$H$35=MOPV_Dop</formula>
    </cfRule>
    <cfRule type="expression" dxfId="396" priority="272">
      <formula>$H$35=MOPV_G</formula>
    </cfRule>
    <cfRule type="expression" dxfId="395" priority="273">
      <formula>$H$35=MOPV_4</formula>
    </cfRule>
    <cfRule type="expression" dxfId="394" priority="274">
      <formula>$H$35=MOPV_2</formula>
    </cfRule>
    <cfRule type="expression" dxfId="393" priority="275">
      <formula>$H$35=MOPV_1</formula>
    </cfRule>
    <cfRule type="expression" dxfId="392" priority="276">
      <formula>$H$35=MOPV_3</formula>
    </cfRule>
  </conditionalFormatting>
  <conditionalFormatting sqref="I35">
    <cfRule type="expression" dxfId="391" priority="265">
      <formula>$H$35=MOPV_Dop</formula>
    </cfRule>
    <cfRule type="expression" dxfId="390" priority="266">
      <formula>$H$35=MOPV_G</formula>
    </cfRule>
    <cfRule type="expression" dxfId="389" priority="267">
      <formula>$H$35=MOPV_4</formula>
    </cfRule>
    <cfRule type="expression" dxfId="388" priority="268">
      <formula>$H$35=MOPV_2</formula>
    </cfRule>
    <cfRule type="expression" dxfId="387" priority="269">
      <formula>$H$35=MOPV_1</formula>
    </cfRule>
    <cfRule type="expression" dxfId="386" priority="270">
      <formula>$H$35=MOPV_3</formula>
    </cfRule>
  </conditionalFormatting>
  <conditionalFormatting sqref="Q34">
    <cfRule type="expression" dxfId="385" priority="259">
      <formula>$Q$40=MOPV_Dop</formula>
    </cfRule>
    <cfRule type="expression" dxfId="384" priority="260">
      <formula>$Q$40=MOPV_G</formula>
    </cfRule>
    <cfRule type="expression" dxfId="383" priority="261">
      <formula>$Q$40=MOPV_4</formula>
    </cfRule>
    <cfRule type="expression" dxfId="382" priority="262">
      <formula>$Q$40=MOPV_2</formula>
    </cfRule>
    <cfRule type="expression" dxfId="381" priority="263">
      <formula>$Q$40=MOPV_1</formula>
    </cfRule>
    <cfRule type="expression" dxfId="380" priority="264">
      <formula>$Q$40=MOPV_3</formula>
    </cfRule>
  </conditionalFormatting>
  <conditionalFormatting sqref="Q35:Q39">
    <cfRule type="expression" dxfId="379" priority="253">
      <formula>$Q$40=MOPV_Dop</formula>
    </cfRule>
    <cfRule type="expression" dxfId="378" priority="254">
      <formula>$Q$40=MOPV_G</formula>
    </cfRule>
    <cfRule type="expression" dxfId="377" priority="255">
      <formula>$Q$40=MOPV_4</formula>
    </cfRule>
    <cfRule type="expression" dxfId="376" priority="256">
      <formula>$Q$40=MOPV_2</formula>
    </cfRule>
    <cfRule type="expression" dxfId="375" priority="257">
      <formula>$Q$40=MOPV_1</formula>
    </cfRule>
    <cfRule type="expression" dxfId="374" priority="258">
      <formula>$Q$40=MOPV_3</formula>
    </cfRule>
  </conditionalFormatting>
  <conditionalFormatting sqref="K40:P40">
    <cfRule type="expression" dxfId="373" priority="247">
      <formula>$Q$40=MOPV_Dop</formula>
    </cfRule>
    <cfRule type="expression" dxfId="372" priority="248">
      <formula>$Q$40=MOPV_G</formula>
    </cfRule>
    <cfRule type="expression" dxfId="371" priority="249">
      <formula>$Q$40=MOPV_4</formula>
    </cfRule>
    <cfRule type="expression" dxfId="370" priority="250">
      <formula>$Q$40=MOPV_2</formula>
    </cfRule>
    <cfRule type="expression" dxfId="369" priority="251">
      <formula>$Q$40=MOPV_1</formula>
    </cfRule>
    <cfRule type="expression" dxfId="368" priority="252">
      <formula>$Q$40=MOPV_3</formula>
    </cfRule>
  </conditionalFormatting>
  <conditionalFormatting sqref="P34">
    <cfRule type="expression" dxfId="367" priority="241">
      <formula>$P$39=MOPV_Dop</formula>
    </cfRule>
    <cfRule type="expression" dxfId="366" priority="242">
      <formula>$P$39=MOPV_G</formula>
    </cfRule>
    <cfRule type="expression" dxfId="365" priority="243">
      <formula>$P$39=MOPV_4</formula>
    </cfRule>
    <cfRule type="expression" dxfId="364" priority="244">
      <formula>$P$39=MOPV_2</formula>
    </cfRule>
    <cfRule type="expression" dxfId="363" priority="245">
      <formula>$P$39=MOPV_1</formula>
    </cfRule>
    <cfRule type="expression" dxfId="362" priority="246">
      <formula>$P$39=MOPV_3</formula>
    </cfRule>
  </conditionalFormatting>
  <conditionalFormatting sqref="P35:P38">
    <cfRule type="expression" dxfId="361" priority="235">
      <formula>$P$39=MOPV_Dop</formula>
    </cfRule>
    <cfRule type="expression" dxfId="360" priority="236">
      <formula>$P$39=MOPV_G</formula>
    </cfRule>
    <cfRule type="expression" dxfId="359" priority="237">
      <formula>$P$39=MOPV_4</formula>
    </cfRule>
    <cfRule type="expression" dxfId="358" priority="238">
      <formula>$P$39=MOPV_2</formula>
    </cfRule>
    <cfRule type="expression" dxfId="357" priority="239">
      <formula>$P$39=MOPV_1</formula>
    </cfRule>
    <cfRule type="expression" dxfId="356" priority="240">
      <formula>$P$39=MOPV_3</formula>
    </cfRule>
  </conditionalFormatting>
  <conditionalFormatting sqref="K39:O39">
    <cfRule type="expression" dxfId="355" priority="229">
      <formula>$P$39=MOPV_Dop</formula>
    </cfRule>
    <cfRule type="expression" dxfId="354" priority="230">
      <formula>$P$39=MOPV_G</formula>
    </cfRule>
    <cfRule type="expression" dxfId="353" priority="231">
      <formula>$P$39=MOPV_4</formula>
    </cfRule>
    <cfRule type="expression" dxfId="352" priority="232">
      <formula>$P$39=MOPV_2</formula>
    </cfRule>
    <cfRule type="expression" dxfId="351" priority="233">
      <formula>$P$39=MOPV_1</formula>
    </cfRule>
    <cfRule type="expression" dxfId="350" priority="234">
      <formula>$P$39=MOPV_3</formula>
    </cfRule>
  </conditionalFormatting>
  <conditionalFormatting sqref="F30">
    <cfRule type="expression" dxfId="349" priority="223">
      <formula>$F$29=MOPV_Dop</formula>
    </cfRule>
    <cfRule type="expression" dxfId="348" priority="224">
      <formula>$F$29=MOPV_G</formula>
    </cfRule>
    <cfRule type="expression" dxfId="347" priority="225">
      <formula>$F$29=MOPV_4</formula>
    </cfRule>
    <cfRule type="expression" dxfId="346" priority="226">
      <formula>$F$29=MOPV_2</formula>
    </cfRule>
    <cfRule type="expression" dxfId="345" priority="227">
      <formula>$F$29=MOPV_1</formula>
    </cfRule>
    <cfRule type="expression" dxfId="344" priority="228">
      <formula>$F$29=MOPV_3</formula>
    </cfRule>
  </conditionalFormatting>
  <conditionalFormatting sqref="F31:F32">
    <cfRule type="expression" dxfId="343" priority="217">
      <formula>$F$29=MOPV_Dop</formula>
    </cfRule>
    <cfRule type="expression" dxfId="342" priority="218">
      <formula>$F$29=MOPV_G</formula>
    </cfRule>
    <cfRule type="expression" dxfId="341" priority="219">
      <formula>$F$29=MOPV_4</formula>
    </cfRule>
    <cfRule type="expression" dxfId="340" priority="220">
      <formula>$F$29=MOPV_2</formula>
    </cfRule>
    <cfRule type="expression" dxfId="339" priority="221">
      <formula>$F$29=MOPV_1</formula>
    </cfRule>
    <cfRule type="expression" dxfId="338" priority="222">
      <formula>$F$29=MOPV_3</formula>
    </cfRule>
  </conditionalFormatting>
  <conditionalFormatting sqref="G29:I29">
    <cfRule type="expression" dxfId="337" priority="211">
      <formula>$F$29=MOPV_Dop</formula>
    </cfRule>
    <cfRule type="expression" dxfId="336" priority="212">
      <formula>$F$29=MOPV_G</formula>
    </cfRule>
    <cfRule type="expression" dxfId="335" priority="213">
      <formula>$F$29=MOPV_4</formula>
    </cfRule>
    <cfRule type="expression" dxfId="334" priority="214">
      <formula>$F$29=MOPV_2</formula>
    </cfRule>
    <cfRule type="expression" dxfId="333" priority="215">
      <formula>$F$29=MOPV_1</formula>
    </cfRule>
    <cfRule type="expression" dxfId="332" priority="216">
      <formula>$F$29=MOPV_3</formula>
    </cfRule>
  </conditionalFormatting>
  <conditionalFormatting sqref="D38">
    <cfRule type="expression" dxfId="331" priority="205">
      <formula>$D$39=MOPV_Dop</formula>
    </cfRule>
    <cfRule type="expression" dxfId="330" priority="206">
      <formula>$D$39=MOPV_G</formula>
    </cfRule>
    <cfRule type="expression" dxfId="329" priority="207">
      <formula>$D$39=MOPV_4</formula>
    </cfRule>
    <cfRule type="expression" dxfId="328" priority="208">
      <formula>$D$39=MOPV_2</formula>
    </cfRule>
    <cfRule type="expression" dxfId="327" priority="209">
      <formula>$D$39=MOPV_1</formula>
    </cfRule>
    <cfRule type="expression" dxfId="326" priority="210">
      <formula>$D$39=MOPV_3</formula>
    </cfRule>
  </conditionalFormatting>
  <conditionalFormatting sqref="D34:D37">
    <cfRule type="expression" dxfId="325" priority="199">
      <formula>$D$39=MOPV_Dop</formula>
    </cfRule>
    <cfRule type="expression" dxfId="324" priority="200">
      <formula>$D$39=MOPV_G</formula>
    </cfRule>
    <cfRule type="expression" dxfId="323" priority="201">
      <formula>$D$39=MOPV_4</formula>
    </cfRule>
    <cfRule type="expression" dxfId="322" priority="202">
      <formula>$D$39=MOPV_2</formula>
    </cfRule>
    <cfRule type="expression" dxfId="321" priority="203">
      <formula>$D$39=MOPV_1</formula>
    </cfRule>
    <cfRule type="expression" dxfId="320" priority="204">
      <formula>$D$39=MOPV_3</formula>
    </cfRule>
  </conditionalFormatting>
  <conditionalFormatting sqref="E39:I39">
    <cfRule type="expression" dxfId="319" priority="193">
      <formula>$D$39=MOPV_Dop</formula>
    </cfRule>
    <cfRule type="expression" dxfId="318" priority="194">
      <formula>$D$39=MOPV_G</formula>
    </cfRule>
    <cfRule type="expression" dxfId="317" priority="195">
      <formula>$D$39=MOPV_4</formula>
    </cfRule>
    <cfRule type="expression" dxfId="316" priority="196">
      <formula>$D$39=MOPV_2</formula>
    </cfRule>
    <cfRule type="expression" dxfId="315" priority="197">
      <formula>$D$39=MOPV_1</formula>
    </cfRule>
    <cfRule type="expression" dxfId="314" priority="198">
      <formula>$D$39=MOPV_3</formula>
    </cfRule>
  </conditionalFormatting>
  <conditionalFormatting sqref="R34">
    <cfRule type="expression" dxfId="313" priority="187">
      <formula>$R$41=MOPV_Dop</formula>
    </cfRule>
    <cfRule type="expression" dxfId="312" priority="188">
      <formula>$R$41=MOPV_G</formula>
    </cfRule>
    <cfRule type="expression" dxfId="311" priority="189">
      <formula>$R$41=MOPV_4</formula>
    </cfRule>
    <cfRule type="expression" dxfId="310" priority="190">
      <formula>$R$41=MOPV_2</formula>
    </cfRule>
    <cfRule type="expression" dxfId="309" priority="191">
      <formula>$R$41=MOPV_1</formula>
    </cfRule>
    <cfRule type="expression" dxfId="308" priority="192">
      <formula>$R$41=MOPV_3</formula>
    </cfRule>
  </conditionalFormatting>
  <conditionalFormatting sqref="R35:R40">
    <cfRule type="expression" dxfId="307" priority="181">
      <formula>$R$41=MOPV_Dop</formula>
    </cfRule>
    <cfRule type="expression" dxfId="306" priority="182">
      <formula>$R$41=MOPV_G</formula>
    </cfRule>
    <cfRule type="expression" dxfId="305" priority="183">
      <formula>$R$41=MOPV_4</formula>
    </cfRule>
    <cfRule type="expression" dxfId="304" priority="184">
      <formula>$R$41=MOPV_2</formula>
    </cfRule>
    <cfRule type="expression" dxfId="303" priority="185">
      <formula>$R$41=MOPV_1</formula>
    </cfRule>
    <cfRule type="expression" dxfId="302" priority="186">
      <formula>$R$41=MOPV_3</formula>
    </cfRule>
  </conditionalFormatting>
  <conditionalFormatting sqref="Q41">
    <cfRule type="expression" dxfId="301" priority="175">
      <formula>$R$41=MOPV_Dop</formula>
    </cfRule>
    <cfRule type="expression" dxfId="300" priority="176">
      <formula>$R$41=MOPV_G</formula>
    </cfRule>
    <cfRule type="expression" dxfId="299" priority="177">
      <formula>$R$41=MOPV_4</formula>
    </cfRule>
    <cfRule type="expression" dxfId="298" priority="178">
      <formula>$R$41=MOPV_2</formula>
    </cfRule>
    <cfRule type="expression" dxfId="297" priority="179">
      <formula>$R$41=MOPV_1</formula>
    </cfRule>
    <cfRule type="expression" dxfId="296" priority="180">
      <formula>$R$41=MOPV_3</formula>
    </cfRule>
  </conditionalFormatting>
  <conditionalFormatting sqref="P41">
    <cfRule type="expression" dxfId="295" priority="169">
      <formula>$R$41=MOPV_Dop</formula>
    </cfRule>
    <cfRule type="expression" dxfId="294" priority="170">
      <formula>$R$41=MOPV_G</formula>
    </cfRule>
    <cfRule type="expression" dxfId="293" priority="171">
      <formula>$R$41=MOPV_4</formula>
    </cfRule>
    <cfRule type="expression" dxfId="292" priority="172">
      <formula>$R$41=MOPV_2</formula>
    </cfRule>
    <cfRule type="expression" dxfId="291" priority="173">
      <formula>$R$41=MOPV_1</formula>
    </cfRule>
    <cfRule type="expression" dxfId="290" priority="174">
      <formula>$R$41=MOPV_3</formula>
    </cfRule>
  </conditionalFormatting>
  <conditionalFormatting sqref="K41:O41">
    <cfRule type="expression" dxfId="289" priority="163">
      <formula>$R$41=MOPV_Dop</formula>
    </cfRule>
    <cfRule type="expression" dxfId="288" priority="164">
      <formula>$R$41=MOPV_G</formula>
    </cfRule>
    <cfRule type="expression" dxfId="287" priority="165">
      <formula>$R$41=MOPV_4</formula>
    </cfRule>
    <cfRule type="expression" dxfId="286" priority="166">
      <formula>$R$41=MOPV_2</formula>
    </cfRule>
    <cfRule type="expression" dxfId="285" priority="167">
      <formula>$R$41=MOPV_1</formula>
    </cfRule>
    <cfRule type="expression" dxfId="284" priority="168">
      <formula>$R$41=MOPV_3</formula>
    </cfRule>
  </conditionalFormatting>
  <conditionalFormatting sqref="C39">
    <cfRule type="expression" dxfId="283" priority="157">
      <formula>$C$40=MOPV_Dop</formula>
    </cfRule>
    <cfRule type="expression" dxfId="282" priority="158">
      <formula>$C$40=MOPV_G</formula>
    </cfRule>
    <cfRule type="expression" dxfId="281" priority="159">
      <formula>$C$40=MOPV_4</formula>
    </cfRule>
    <cfRule type="expression" dxfId="280" priority="160">
      <formula>$C$40=MOPV_2</formula>
    </cfRule>
    <cfRule type="expression" dxfId="279" priority="161">
      <formula>$C$40=MOPV_1</formula>
    </cfRule>
    <cfRule type="expression" dxfId="278" priority="162">
      <formula>$C$40=MOPV_3</formula>
    </cfRule>
  </conditionalFormatting>
  <conditionalFormatting sqref="C34:C38">
    <cfRule type="expression" dxfId="277" priority="151">
      <formula>$C$40=MOPV_Dop</formula>
    </cfRule>
    <cfRule type="expression" dxfId="276" priority="152">
      <formula>$C$40=MOPV_G</formula>
    </cfRule>
    <cfRule type="expression" dxfId="275" priority="153">
      <formula>$C$40=MOPV_4</formula>
    </cfRule>
    <cfRule type="expression" dxfId="274" priority="154">
      <formula>$C$40=MOPV_2</formula>
    </cfRule>
    <cfRule type="expression" dxfId="273" priority="155">
      <formula>$C$40=MOPV_1</formula>
    </cfRule>
    <cfRule type="expression" dxfId="272" priority="156">
      <formula>$C$40=MOPV_3</formula>
    </cfRule>
  </conditionalFormatting>
  <conditionalFormatting sqref="D40:I40">
    <cfRule type="expression" dxfId="271" priority="145">
      <formula>$C$40=MOPV_Dop</formula>
    </cfRule>
    <cfRule type="expression" dxfId="270" priority="146">
      <formula>$C$40=MOPV_G</formula>
    </cfRule>
    <cfRule type="expression" dxfId="269" priority="147">
      <formula>$C$40=MOPV_4</formula>
    </cfRule>
    <cfRule type="expression" dxfId="268" priority="148">
      <formula>$C$40=MOPV_2</formula>
    </cfRule>
    <cfRule type="expression" dxfId="267" priority="149">
      <formula>$C$40=MOPV_1</formula>
    </cfRule>
    <cfRule type="expression" dxfId="266" priority="150">
      <formula>$C$40=MOPV_3</formula>
    </cfRule>
  </conditionalFormatting>
  <conditionalFormatting sqref="E29">
    <cfRule type="expression" dxfId="265" priority="139">
      <formula>$E$28=MOPV_Dop</formula>
    </cfRule>
    <cfRule type="expression" dxfId="264" priority="140">
      <formula>$E$28=MOPV_G</formula>
    </cfRule>
    <cfRule type="expression" dxfId="263" priority="141">
      <formula>$E$28=MOPV_4</formula>
    </cfRule>
    <cfRule type="expression" dxfId="262" priority="142">
      <formula>$E$28=MOPV_2</formula>
    </cfRule>
    <cfRule type="expression" dxfId="261" priority="143">
      <formula>$E$28=MOPV_1</formula>
    </cfRule>
    <cfRule type="expression" dxfId="260" priority="144">
      <formula>$E$28=MOPV_3</formula>
    </cfRule>
  </conditionalFormatting>
  <conditionalFormatting sqref="E30:E32">
    <cfRule type="expression" dxfId="259" priority="133">
      <formula>$E$28=MOPV_Dop</formula>
    </cfRule>
    <cfRule type="expression" dxfId="258" priority="134">
      <formula>$E$28=MOPV_G</formula>
    </cfRule>
    <cfRule type="expression" dxfId="257" priority="135">
      <formula>$E$28=MOPV_4</formula>
    </cfRule>
    <cfRule type="expression" dxfId="256" priority="136">
      <formula>$E$28=MOPV_2</formula>
    </cfRule>
    <cfRule type="expression" dxfId="255" priority="137">
      <formula>$E$28=MOPV_1</formula>
    </cfRule>
    <cfRule type="expression" dxfId="254" priority="138">
      <formula>$E$28=MOPV_3</formula>
    </cfRule>
  </conditionalFormatting>
  <conditionalFormatting sqref="F28:I28">
    <cfRule type="expression" dxfId="253" priority="127">
      <formula>$E$28=MOPV_Dop</formula>
    </cfRule>
    <cfRule type="expression" dxfId="252" priority="128">
      <formula>$E$28=MOPV_G</formula>
    </cfRule>
    <cfRule type="expression" dxfId="251" priority="129">
      <formula>$E$28=MOPV_4</formula>
    </cfRule>
    <cfRule type="expression" dxfId="250" priority="130">
      <formula>$E$28=MOPV_2</formula>
    </cfRule>
    <cfRule type="expression" dxfId="249" priority="131">
      <formula>$E$28=MOPV_1</formula>
    </cfRule>
    <cfRule type="expression" dxfId="248" priority="132">
      <formula>$E$28=MOPV_3</formula>
    </cfRule>
  </conditionalFormatting>
  <conditionalFormatting sqref="M31">
    <cfRule type="expression" dxfId="247" priority="121">
      <formula>$M$30=MOPV_Dop</formula>
    </cfRule>
    <cfRule type="expression" dxfId="246" priority="122">
      <formula>$M$30=MOPV_G</formula>
    </cfRule>
    <cfRule type="expression" dxfId="245" priority="123">
      <formula>$M$30=MOPV_4</formula>
    </cfRule>
    <cfRule type="expression" dxfId="244" priority="124">
      <formula>$M$30=MOPV_2</formula>
    </cfRule>
    <cfRule type="expression" dxfId="243" priority="125">
      <formula>$M$30=MOPV_1</formula>
    </cfRule>
    <cfRule type="expression" dxfId="242" priority="126">
      <formula>$M$30=MOPV_3</formula>
    </cfRule>
  </conditionalFormatting>
  <conditionalFormatting sqref="M32">
    <cfRule type="expression" dxfId="241" priority="115">
      <formula>$M$30=MOPV_Dop</formula>
    </cfRule>
    <cfRule type="expression" dxfId="240" priority="116">
      <formula>$M$30=MOPV_G</formula>
    </cfRule>
    <cfRule type="expression" dxfId="239" priority="117">
      <formula>$M$30=MOPV_4</formula>
    </cfRule>
    <cfRule type="expression" dxfId="238" priority="118">
      <formula>$M$30=MOPV_2</formula>
    </cfRule>
    <cfRule type="expression" dxfId="237" priority="119">
      <formula>$M$30=MOPV_1</formula>
    </cfRule>
    <cfRule type="expression" dxfId="236" priority="120">
      <formula>$M$30=MOPV_3</formula>
    </cfRule>
  </conditionalFormatting>
  <conditionalFormatting sqref="L30">
    <cfRule type="expression" dxfId="235" priority="109">
      <formula>$M$30=MOPV_Dop</formula>
    </cfRule>
    <cfRule type="expression" dxfId="234" priority="110">
      <formula>$M$30=MOPV_G</formula>
    </cfRule>
    <cfRule type="expression" dxfId="233" priority="111">
      <formula>$M$30=MOPV_4</formula>
    </cfRule>
    <cfRule type="expression" dxfId="232" priority="112">
      <formula>$M$30=MOPV_2</formula>
    </cfRule>
    <cfRule type="expression" dxfId="231" priority="113">
      <formula>$M$30=MOPV_1</formula>
    </cfRule>
    <cfRule type="expression" dxfId="230" priority="114">
      <formula>$M$30=MOPV_3</formula>
    </cfRule>
  </conditionalFormatting>
  <conditionalFormatting sqref="K30">
    <cfRule type="expression" dxfId="229" priority="103">
      <formula>$M$30=MOPV_Dop</formula>
    </cfRule>
    <cfRule type="expression" dxfId="228" priority="104">
      <formula>$M$30=MOPV_G</formula>
    </cfRule>
    <cfRule type="expression" dxfId="227" priority="105">
      <formula>$M$30=MOPV_4</formula>
    </cfRule>
    <cfRule type="expression" dxfId="226" priority="106">
      <formula>$M$30=MOPV_2</formula>
    </cfRule>
    <cfRule type="expression" dxfId="225" priority="107">
      <formula>$M$30=MOPV_1</formula>
    </cfRule>
    <cfRule type="expression" dxfId="224" priority="108">
      <formula>$M$30=MOPV_3</formula>
    </cfRule>
  </conditionalFormatting>
  <conditionalFormatting sqref="N30">
    <cfRule type="expression" dxfId="223" priority="97">
      <formula>$N$29=MOPV_Dop</formula>
    </cfRule>
    <cfRule type="expression" dxfId="222" priority="98">
      <formula>$N$29=MOPV_G</formula>
    </cfRule>
    <cfRule type="expression" dxfId="221" priority="99">
      <formula>$N$29=MOPV_4</formula>
    </cfRule>
    <cfRule type="expression" dxfId="220" priority="100">
      <formula>$N$29=MOPV_2</formula>
    </cfRule>
    <cfRule type="expression" dxfId="219" priority="101">
      <formula>$N$29=MOPV_1</formula>
    </cfRule>
    <cfRule type="expression" dxfId="218" priority="102">
      <formula>$N$29=MOPV_3</formula>
    </cfRule>
  </conditionalFormatting>
  <conditionalFormatting sqref="N31:N32">
    <cfRule type="expression" dxfId="217" priority="91">
      <formula>$N$29=MOPV_Dop</formula>
    </cfRule>
    <cfRule type="expression" dxfId="216" priority="92">
      <formula>$N$29=MOPV_G</formula>
    </cfRule>
    <cfRule type="expression" dxfId="215" priority="93">
      <formula>$N$29=MOPV_4</formula>
    </cfRule>
    <cfRule type="expression" dxfId="214" priority="94">
      <formula>$N$29=MOPV_2</formula>
    </cfRule>
    <cfRule type="expression" dxfId="213" priority="95">
      <formula>$N$29=MOPV_1</formula>
    </cfRule>
    <cfRule type="expression" dxfId="212" priority="96">
      <formula>$N$29=MOPV_3</formula>
    </cfRule>
  </conditionalFormatting>
  <conditionalFormatting sqref="K29:M29">
    <cfRule type="expression" dxfId="211" priority="85">
      <formula>$N$29=MOPV_Dop</formula>
    </cfRule>
    <cfRule type="expression" dxfId="210" priority="86">
      <formula>$N$29=MOPV_G</formula>
    </cfRule>
    <cfRule type="expression" dxfId="209" priority="87">
      <formula>$N$29=MOPV_4</formula>
    </cfRule>
    <cfRule type="expression" dxfId="208" priority="88">
      <formula>$N$29=MOPV_2</formula>
    </cfRule>
    <cfRule type="expression" dxfId="207" priority="89">
      <formula>$N$29=MOPV_1</formula>
    </cfRule>
    <cfRule type="expression" dxfId="206" priority="90">
      <formula>$N$29=MOPV_3</formula>
    </cfRule>
  </conditionalFormatting>
  <conditionalFormatting sqref="O29">
    <cfRule type="expression" dxfId="205" priority="79">
      <formula>$O$28=MOPV_Dop</formula>
    </cfRule>
    <cfRule type="expression" dxfId="204" priority="80">
      <formula>$O$28=MOPV_G</formula>
    </cfRule>
    <cfRule type="expression" dxfId="203" priority="81">
      <formula>$O$28=MOPV_4</formula>
    </cfRule>
    <cfRule type="expression" dxfId="202" priority="82">
      <formula>$O$28=MOPV_2</formula>
    </cfRule>
    <cfRule type="expression" dxfId="201" priority="83">
      <formula>$O$28=MOPV_1</formula>
    </cfRule>
    <cfRule type="expression" dxfId="200" priority="84">
      <formula>$O$28=MOPV_3</formula>
    </cfRule>
  </conditionalFormatting>
  <conditionalFormatting sqref="O30:O32">
    <cfRule type="expression" dxfId="199" priority="73">
      <formula>$O$28=MOPV_Dop</formula>
    </cfRule>
    <cfRule type="expression" dxfId="198" priority="74">
      <formula>$O$28=MOPV_G</formula>
    </cfRule>
    <cfRule type="expression" dxfId="197" priority="75">
      <formula>$O$28=MOPV_4</formula>
    </cfRule>
    <cfRule type="expression" dxfId="196" priority="76">
      <formula>$O$28=MOPV_2</formula>
    </cfRule>
    <cfRule type="expression" dxfId="195" priority="77">
      <formula>$O$28=MOPV_1</formula>
    </cfRule>
    <cfRule type="expression" dxfId="194" priority="78">
      <formula>$O$28=MOPV_3</formula>
    </cfRule>
  </conditionalFormatting>
  <conditionalFormatting sqref="K28:N28">
    <cfRule type="expression" dxfId="193" priority="67">
      <formula>$O$28=MOPV_Dop</formula>
    </cfRule>
    <cfRule type="expression" dxfId="192" priority="68">
      <formula>$O$28=MOPV_G</formula>
    </cfRule>
    <cfRule type="expression" dxfId="191" priority="69">
      <formula>$O$28=MOPV_4</formula>
    </cfRule>
    <cfRule type="expression" dxfId="190" priority="70">
      <formula>$O$28=MOPV_2</formula>
    </cfRule>
    <cfRule type="expression" dxfId="189" priority="71">
      <formula>$O$28=MOPV_1</formula>
    </cfRule>
    <cfRule type="expression" dxfId="188" priority="72">
      <formula>$O$28=MOPV_3</formula>
    </cfRule>
  </conditionalFormatting>
  <conditionalFormatting sqref="D28">
    <cfRule type="expression" dxfId="187" priority="61">
      <formula>$D$27=MOPV_Dop</formula>
    </cfRule>
    <cfRule type="expression" dxfId="186" priority="62">
      <formula>$D$27=MOPV_G</formula>
    </cfRule>
    <cfRule type="expression" dxfId="185" priority="63">
      <formula>$D$27=MOPV_4</formula>
    </cfRule>
    <cfRule type="expression" dxfId="184" priority="64">
      <formula>$D$27=MOPV_2</formula>
    </cfRule>
    <cfRule type="expression" dxfId="183" priority="65">
      <formula>$D$27=MOPV_1</formula>
    </cfRule>
    <cfRule type="expression" dxfId="182" priority="66">
      <formula>$D$27=MOPV_3</formula>
    </cfRule>
  </conditionalFormatting>
  <conditionalFormatting sqref="D29:D32">
    <cfRule type="expression" dxfId="181" priority="55">
      <formula>$D$27=MOPV_Dop</formula>
    </cfRule>
    <cfRule type="expression" dxfId="180" priority="56">
      <formula>$D$27=MOPV_G</formula>
    </cfRule>
    <cfRule type="expression" dxfId="179" priority="57">
      <formula>$D$27=MOPV_4</formula>
    </cfRule>
    <cfRule type="expression" dxfId="178" priority="58">
      <formula>$D$27=MOPV_2</formula>
    </cfRule>
    <cfRule type="expression" dxfId="177" priority="59">
      <formula>$D$27=MOPV_1</formula>
    </cfRule>
    <cfRule type="expression" dxfId="176" priority="60">
      <formula>$D$27=MOPV_3</formula>
    </cfRule>
  </conditionalFormatting>
  <conditionalFormatting sqref="E27:I27">
    <cfRule type="expression" dxfId="175" priority="49">
      <formula>$D$27=MOPV_Dop</formula>
    </cfRule>
    <cfRule type="expression" dxfId="174" priority="50">
      <formula>$D$27=MOPV_G</formula>
    </cfRule>
    <cfRule type="expression" dxfId="173" priority="51">
      <formula>$D$27=MOPV_4</formula>
    </cfRule>
    <cfRule type="expression" dxfId="172" priority="52">
      <formula>$D$27=MOPV_2</formula>
    </cfRule>
    <cfRule type="expression" dxfId="171" priority="53">
      <formula>$D$27=MOPV_1</formula>
    </cfRule>
    <cfRule type="expression" dxfId="170" priority="54">
      <formula>$D$27=MOPV_3</formula>
    </cfRule>
  </conditionalFormatting>
  <conditionalFormatting sqref="M35">
    <cfRule type="expression" dxfId="169" priority="43">
      <formula>$M$36=MOPV_Dop</formula>
    </cfRule>
    <cfRule type="expression" dxfId="168" priority="44">
      <formula>$M$36=MOPV_G</formula>
    </cfRule>
    <cfRule type="expression" dxfId="167" priority="45">
      <formula>$M$36=MOPV_4</formula>
    </cfRule>
    <cfRule type="expression" dxfId="166" priority="46">
      <formula>$M$36=MOPV_2</formula>
    </cfRule>
    <cfRule type="expression" dxfId="165" priority="47">
      <formula>$M$36=MOPV_1</formula>
    </cfRule>
    <cfRule type="expression" dxfId="164" priority="48">
      <formula>$M$36=MOPV_3</formula>
    </cfRule>
  </conditionalFormatting>
  <conditionalFormatting sqref="M34">
    <cfRule type="expression" dxfId="163" priority="37">
      <formula>$M$36=MOPV_Dop</formula>
    </cfRule>
    <cfRule type="expression" dxfId="162" priority="38">
      <formula>$M$36=MOPV_G</formula>
    </cfRule>
    <cfRule type="expression" dxfId="161" priority="39">
      <formula>$M$36=MOPV_4</formula>
    </cfRule>
    <cfRule type="expression" dxfId="160" priority="40">
      <formula>$M$36=MOPV_2</formula>
    </cfRule>
    <cfRule type="expression" dxfId="159" priority="41">
      <formula>$M$36=MOPV_1</formula>
    </cfRule>
    <cfRule type="expression" dxfId="158" priority="42">
      <formula>$M$36=MOPV_3</formula>
    </cfRule>
  </conditionalFormatting>
  <conditionalFormatting sqref="K36:L36">
    <cfRule type="expression" dxfId="157" priority="31">
      <formula>$M$36=MOPV_Dop</formula>
    </cfRule>
    <cfRule type="expression" dxfId="156" priority="32">
      <formula>$M$36=MOPV_G</formula>
    </cfRule>
    <cfRule type="expression" dxfId="155" priority="33">
      <formula>$M$36=MOPV_4</formula>
    </cfRule>
    <cfRule type="expression" dxfId="154" priority="34">
      <formula>$M$36=MOPV_2</formula>
    </cfRule>
    <cfRule type="expression" dxfId="153" priority="35">
      <formula>$M$36=MOPV_1</formula>
    </cfRule>
    <cfRule type="expression" dxfId="152" priority="36">
      <formula>$M$36=MOPV_3</formula>
    </cfRule>
  </conditionalFormatting>
  <conditionalFormatting sqref="K31">
    <cfRule type="expression" dxfId="151" priority="25">
      <formula>$L$31=MOPV_Dop</formula>
    </cfRule>
    <cfRule type="expression" dxfId="150" priority="26">
      <formula>$L$31=MOPV_G</formula>
    </cfRule>
    <cfRule type="expression" dxfId="149" priority="27">
      <formula>$L$31=MOPV_4</formula>
    </cfRule>
    <cfRule type="expression" dxfId="148" priority="28">
      <formula>$L$31=MOPV_2</formula>
    </cfRule>
    <cfRule type="expression" dxfId="147" priority="29">
      <formula>$L$31=MOPV_1</formula>
    </cfRule>
    <cfRule type="expression" dxfId="146" priority="30">
      <formula>$L$31=MOPV_3</formula>
    </cfRule>
  </conditionalFormatting>
  <conditionalFormatting sqref="L32">
    <cfRule type="expression" dxfId="145" priority="19">
      <formula>$L$31=MOPV_Dop</formula>
    </cfRule>
    <cfRule type="expression" dxfId="144" priority="20">
      <formula>$L$31=MOPV_G</formula>
    </cfRule>
    <cfRule type="expression" dxfId="143" priority="21">
      <formula>$L$31=MOPV_4</formula>
    </cfRule>
    <cfRule type="expression" dxfId="142" priority="22">
      <formula>$L$31=MOPV_2</formula>
    </cfRule>
    <cfRule type="expression" dxfId="141" priority="23">
      <formula>$L$31=MOPV_1</formula>
    </cfRule>
    <cfRule type="expression" dxfId="140" priority="24">
      <formula>$L$31=MOPV_3</formula>
    </cfRule>
  </conditionalFormatting>
  <conditionalFormatting sqref="F38">
    <cfRule type="expression" dxfId="139" priority="13">
      <formula>$E$38=MOPV_Dop</formula>
    </cfRule>
    <cfRule type="expression" dxfId="138" priority="14">
      <formula>$E$38=MOPV_G</formula>
    </cfRule>
    <cfRule type="expression" dxfId="137" priority="15">
      <formula>$E$38=MOPV_4</formula>
    </cfRule>
    <cfRule type="expression" dxfId="136" priority="16">
      <formula>$E$38=MOPV_2</formula>
    </cfRule>
    <cfRule type="expression" dxfId="135" priority="17">
      <formula>$E$38=MOPV_1</formula>
    </cfRule>
    <cfRule type="expression" dxfId="134" priority="18">
      <formula>$E$38=MOPV_3</formula>
    </cfRule>
  </conditionalFormatting>
  <conditionalFormatting sqref="G38:I38">
    <cfRule type="expression" dxfId="133" priority="7">
      <formula>$E$38=MOPV_Dop</formula>
    </cfRule>
    <cfRule type="expression" dxfId="132" priority="8">
      <formula>$E$38=MOPV_G</formula>
    </cfRule>
    <cfRule type="expression" dxfId="131" priority="9">
      <formula>$E$38=MOPV_4</formula>
    </cfRule>
    <cfRule type="expression" dxfId="130" priority="10">
      <formula>$E$38=MOPV_2</formula>
    </cfRule>
    <cfRule type="expression" dxfId="129" priority="11">
      <formula>$E$38=MOPV_1</formula>
    </cfRule>
    <cfRule type="expression" dxfId="128" priority="12">
      <formula>$E$38=MOPV_3</formula>
    </cfRule>
  </conditionalFormatting>
  <conditionalFormatting sqref="E34:E37">
    <cfRule type="expression" dxfId="127" priority="1">
      <formula>$E$38=MOPV_Dop</formula>
    </cfRule>
    <cfRule type="expression" dxfId="126" priority="2">
      <formula>$E$38=MOPV_G</formula>
    </cfRule>
    <cfRule type="expression" dxfId="125" priority="3">
      <formula>$E$38=MOPV_4</formula>
    </cfRule>
    <cfRule type="expression" dxfId="124" priority="4">
      <formula>$E$38=MOPV_2</formula>
    </cfRule>
    <cfRule type="expression" dxfId="123" priority="5">
      <formula>$E$38=MOPV_1</formula>
    </cfRule>
    <cfRule type="expression" dxfId="122" priority="6">
      <formula>$E$38=MOPV_3</formula>
    </cfRule>
  </conditionalFormatting>
  <pageMargins left="0.7" right="0.7" top="0.75" bottom="0.75" header="0.3" footer="0.3"/>
  <pageSetup orientation="portrait" verticalDpi="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AN320"/>
  <sheetViews>
    <sheetView showGridLines="0" workbookViewId="0">
      <selection activeCell="K9" sqref="K9"/>
    </sheetView>
  </sheetViews>
  <sheetFormatPr defaultColWidth="8.875" defaultRowHeight="15" x14ac:dyDescent="0.25"/>
  <cols>
    <col min="2" max="2" width="10.875" customWidth="1"/>
    <col min="3" max="3" width="11" customWidth="1"/>
    <col min="4" max="4" width="8.375" customWidth="1"/>
    <col min="10" max="10" width="9.875" customWidth="1"/>
    <col min="11" max="11" width="11.25" bestFit="1" customWidth="1"/>
    <col min="14" max="14" width="9.125" customWidth="1"/>
    <col min="16" max="16" width="9.875" customWidth="1"/>
    <col min="17" max="17" width="9.75" customWidth="1"/>
    <col min="18" max="18" width="10" customWidth="1"/>
    <col min="19" max="19" width="10.25" customWidth="1"/>
    <col min="20" max="20" width="11" customWidth="1"/>
    <col min="22" max="22" width="10" customWidth="1"/>
    <col min="23" max="23" width="10.875" customWidth="1"/>
    <col min="24" max="24" width="10.25" customWidth="1"/>
    <col min="27" max="27" width="10.125" customWidth="1"/>
    <col min="28" max="29" width="11.25" customWidth="1"/>
    <col min="38" max="38" width="11.25" bestFit="1" customWidth="1"/>
  </cols>
  <sheetData>
    <row r="3" spans="2:38" ht="15.75" thickBot="1" x14ac:dyDescent="0.3">
      <c r="B3" t="s">
        <v>59</v>
      </c>
      <c r="C3" s="83">
        <f>DATE(DOB_Year1,DOB_Month1,DOB_Day1)</f>
        <v>26613</v>
      </c>
      <c r="D3" s="308" t="s">
        <v>697</v>
      </c>
      <c r="J3" t="s">
        <v>60</v>
      </c>
      <c r="K3" s="83">
        <f>DATE(DOB_Year2,DOB_Month2,DOB_Day2)</f>
        <v>31221</v>
      </c>
      <c r="L3" s="308" t="s">
        <v>697</v>
      </c>
    </row>
    <row r="4" spans="2:38" ht="18.75" x14ac:dyDescent="0.3">
      <c r="B4" t="s">
        <v>725</v>
      </c>
      <c r="C4" s="564" t="s">
        <v>1119</v>
      </c>
      <c r="D4" s="166">
        <f>CalculateRod(C4,C5,0,Alphabet)</f>
        <v>5</v>
      </c>
      <c r="J4" t="s">
        <v>724</v>
      </c>
      <c r="K4" s="560" t="s">
        <v>1122</v>
      </c>
      <c r="L4" s="166">
        <f>CalculateRod(K4,K5,0,Alphabet)</f>
        <v>3</v>
      </c>
      <c r="R4" s="786" t="s">
        <v>61</v>
      </c>
      <c r="S4" s="786"/>
      <c r="T4" s="786"/>
      <c r="U4" s="786"/>
      <c r="V4" s="786"/>
      <c r="W4" s="786"/>
      <c r="X4" s="786"/>
      <c r="Y4" s="787"/>
      <c r="AB4" s="793" t="s">
        <v>696</v>
      </c>
      <c r="AC4" s="793"/>
      <c r="AD4" s="793"/>
      <c r="AE4" s="793"/>
      <c r="AF4" s="793"/>
      <c r="AG4" s="793"/>
      <c r="AH4" s="793"/>
      <c r="AI4" s="793"/>
      <c r="AJ4" s="793"/>
      <c r="AK4" s="793"/>
      <c r="AL4" s="793"/>
    </row>
    <row r="5" spans="2:38" ht="15.75" thickBot="1" x14ac:dyDescent="0.3">
      <c r="B5" t="s">
        <v>723</v>
      </c>
      <c r="C5" s="565" t="s">
        <v>1120</v>
      </c>
      <c r="D5" s="220">
        <f>CalculateRod(C4,C5,1,Alphabet)</f>
        <v>6</v>
      </c>
      <c r="J5" t="s">
        <v>723</v>
      </c>
      <c r="K5" s="561" t="s">
        <v>1124</v>
      </c>
      <c r="L5" s="220">
        <f>CalculateRod(K4,K5,1,Alphabet)</f>
        <v>4</v>
      </c>
      <c r="R5" s="19"/>
      <c r="S5" s="19" t="s">
        <v>20</v>
      </c>
      <c r="T5" s="19" t="s">
        <v>21</v>
      </c>
      <c r="U5" s="19" t="s">
        <v>22</v>
      </c>
      <c r="V5" s="19" t="s">
        <v>23</v>
      </c>
      <c r="W5" s="19" t="s">
        <v>24</v>
      </c>
      <c r="X5" s="20" t="s">
        <v>25</v>
      </c>
      <c r="Y5" s="21" t="s">
        <v>26</v>
      </c>
    </row>
    <row r="6" spans="2:38" ht="18.75" thickBot="1" x14ac:dyDescent="0.4">
      <c r="B6" t="s">
        <v>224</v>
      </c>
      <c r="C6" s="566" t="s">
        <v>1121</v>
      </c>
      <c r="D6" s="220">
        <f>numberto22(ConvertLettersToNumber(C6,Alphabet))</f>
        <v>22</v>
      </c>
      <c r="J6" t="s">
        <v>224</v>
      </c>
      <c r="K6" s="562" t="s">
        <v>1123</v>
      </c>
      <c r="L6" s="220">
        <f>numberto22(ConvertLettersToNumber(K6,Alphabet))</f>
        <v>2</v>
      </c>
      <c r="M6" s="207"/>
      <c r="R6" s="19" t="s">
        <v>33</v>
      </c>
      <c r="S6" s="22">
        <f>CalcTP(C7)</f>
        <v>10</v>
      </c>
      <c r="T6" s="22">
        <f>numberto22(ABS(DayTaro1+MonthTaro1))</f>
        <v>21</v>
      </c>
      <c r="U6" s="22">
        <f>numberto22(ABS(DayTaro1+YearTaro1))</f>
        <v>7</v>
      </c>
      <c r="V6" s="22">
        <f>numberto22(ABS(T6+U6))</f>
        <v>6</v>
      </c>
      <c r="W6" s="22">
        <f>numberto22(ABS(MonthTaro1+YearTaro1))</f>
        <v>8</v>
      </c>
      <c r="X6" s="20">
        <f>numberto22(T6+U6+V6+W6)</f>
        <v>20</v>
      </c>
      <c r="Y6" s="21">
        <f>numberto22(X6+X7)</f>
        <v>2</v>
      </c>
      <c r="AC6" s="136" t="s">
        <v>74</v>
      </c>
      <c r="AG6" s="142" t="s">
        <v>76</v>
      </c>
      <c r="AK6" s="148" t="s">
        <v>78</v>
      </c>
    </row>
    <row r="7" spans="2:38" ht="18.75" thickBot="1" x14ac:dyDescent="0.4">
      <c r="B7" t="s">
        <v>3</v>
      </c>
      <c r="C7" s="567">
        <v>10</v>
      </c>
      <c r="D7" s="408">
        <f>numberto22(C7)</f>
        <v>10</v>
      </c>
      <c r="E7" s="236">
        <f>SumNumbers(CONCATENATE(C7,C8,C9))</f>
        <v>22</v>
      </c>
      <c r="F7" s="24"/>
      <c r="G7" s="24"/>
      <c r="H7" s="24"/>
      <c r="J7" t="s">
        <v>3</v>
      </c>
      <c r="K7" s="561">
        <v>23</v>
      </c>
      <c r="L7" s="408">
        <f>numberto22(K7)</f>
        <v>1</v>
      </c>
      <c r="M7" s="236">
        <f>SumNumbers(CONCATENATE(K7,K8,K9))</f>
        <v>34</v>
      </c>
      <c r="R7" s="19" t="s">
        <v>36</v>
      </c>
      <c r="S7" s="22">
        <f>CalcOPV(C7)</f>
        <v>0</v>
      </c>
      <c r="T7" s="22">
        <f>numberto22(ABS(DayTaro1-MonthTaro1))</f>
        <v>1</v>
      </c>
      <c r="U7" s="22">
        <f>numberto22(ABS(DayTaro1-YearTaro1))</f>
        <v>9</v>
      </c>
      <c r="V7" s="22">
        <f>numberto22(ABS(T7-U7))</f>
        <v>8</v>
      </c>
      <c r="W7" s="22">
        <f>numberto22(ABS(MonthTaro1-YearTaro1))</f>
        <v>8</v>
      </c>
      <c r="X7" s="20">
        <f>numberto22(T7+U7+V7+W7)</f>
        <v>4</v>
      </c>
      <c r="Y7" s="21">
        <f>numberto22(ABS(X7-X6))</f>
        <v>16</v>
      </c>
      <c r="AB7" s="138" t="s">
        <v>86</v>
      </c>
      <c r="AC7" s="137">
        <f>R36</f>
        <v>10</v>
      </c>
      <c r="AD7" s="138" t="s">
        <v>87</v>
      </c>
      <c r="AF7" s="134" t="s">
        <v>88</v>
      </c>
      <c r="AG7" s="143">
        <f>S34</f>
        <v>11</v>
      </c>
      <c r="AH7" s="134" t="s">
        <v>89</v>
      </c>
      <c r="AJ7" s="146" t="s">
        <v>90</v>
      </c>
      <c r="AK7" s="149">
        <f>X36</f>
        <v>19</v>
      </c>
      <c r="AL7" s="146" t="s">
        <v>91</v>
      </c>
    </row>
    <row r="8" spans="2:38" ht="18.75" thickBot="1" x14ac:dyDescent="0.4">
      <c r="B8" t="s">
        <v>11</v>
      </c>
      <c r="C8" s="567">
        <v>11</v>
      </c>
      <c r="D8" s="408">
        <f>C8</f>
        <v>11</v>
      </c>
      <c r="E8" s="236">
        <f>SumNumbers(E7)</f>
        <v>4</v>
      </c>
      <c r="F8" s="24"/>
      <c r="G8" s="24"/>
      <c r="H8" s="24"/>
      <c r="J8" t="s">
        <v>11</v>
      </c>
      <c r="K8" s="561">
        <v>6</v>
      </c>
      <c r="L8" s="408">
        <f>K8</f>
        <v>6</v>
      </c>
      <c r="M8" s="236">
        <f>SumNumbers(M7)</f>
        <v>7</v>
      </c>
      <c r="R8" s="23" t="s">
        <v>42</v>
      </c>
      <c r="S8" s="788" t="str">
        <f>CONCATENATE("0-", E9)</f>
        <v>0-32</v>
      </c>
      <c r="T8" s="788"/>
      <c r="U8" s="23" t="str">
        <f>CONCATENATE(E9+1,"-",E9+9)</f>
        <v>33-41</v>
      </c>
      <c r="V8" s="23" t="str">
        <f>CONCATENATE(E9+10,"-",E9+18)</f>
        <v>42-50</v>
      </c>
      <c r="W8" s="23" t="str">
        <f>CONCATENATE(E9+19,"-и далее")</f>
        <v>51-и далее</v>
      </c>
      <c r="X8" s="23" t="s">
        <v>43</v>
      </c>
      <c r="Y8" s="23" t="s">
        <v>43</v>
      </c>
      <c r="AB8" s="139">
        <f>D_13</f>
        <v>21</v>
      </c>
      <c r="AC8" s="136" t="s">
        <v>75</v>
      </c>
      <c r="AD8" s="139">
        <f>D_23</f>
        <v>12</v>
      </c>
      <c r="AF8" s="135">
        <f>M_13</f>
        <v>6</v>
      </c>
      <c r="AG8" s="142" t="s">
        <v>77</v>
      </c>
      <c r="AH8" s="135">
        <f>M_23</f>
        <v>1</v>
      </c>
      <c r="AJ8" s="147">
        <f>Y_13</f>
        <v>17</v>
      </c>
      <c r="AK8" s="148" t="s">
        <v>79</v>
      </c>
      <c r="AL8" s="147">
        <f>Y_23</f>
        <v>21</v>
      </c>
    </row>
    <row r="9" spans="2:38" ht="18.75" thickBot="1" x14ac:dyDescent="0.4">
      <c r="B9" t="s">
        <v>12</v>
      </c>
      <c r="C9" s="568">
        <v>1972</v>
      </c>
      <c r="D9" s="409">
        <f>numberto22(SumNumbers(C9))</f>
        <v>19</v>
      </c>
      <c r="E9" s="236">
        <f>36-SumNumbers(E8)</f>
        <v>32</v>
      </c>
      <c r="F9" s="99" t="s">
        <v>80</v>
      </c>
      <c r="G9" s="298">
        <f>numberto22(ABS(D15+J15))</f>
        <v>4</v>
      </c>
      <c r="H9" s="24"/>
      <c r="J9" t="s">
        <v>12</v>
      </c>
      <c r="K9" s="563">
        <v>1985</v>
      </c>
      <c r="L9" s="409">
        <f>numberto22(SumNumbers(K9))</f>
        <v>1</v>
      </c>
      <c r="M9" s="236">
        <f>36-SumNumbers(M8)</f>
        <v>29</v>
      </c>
      <c r="T9">
        <f>COUNTIF($T$7:$X$7,T7)</f>
        <v>1</v>
      </c>
      <c r="U9">
        <f>COUNTIF($T$7:$X$7,U7)</f>
        <v>1</v>
      </c>
      <c r="V9">
        <f>COUNTIF($T$7:$X$7,V7)</f>
        <v>2</v>
      </c>
      <c r="W9">
        <f>COUNTIF($T$7:$X$7,W7)</f>
        <v>2</v>
      </c>
      <c r="X9">
        <f>COUNTIF($T$7:$X$7,X7)</f>
        <v>1</v>
      </c>
      <c r="AC9" s="137">
        <f>R42</f>
        <v>1</v>
      </c>
      <c r="AG9" s="143">
        <f>W34</f>
        <v>6</v>
      </c>
      <c r="AK9" s="149">
        <f>X41</f>
        <v>1</v>
      </c>
    </row>
    <row r="10" spans="2:38" ht="18" x14ac:dyDescent="0.35">
      <c r="B10" t="s">
        <v>146</v>
      </c>
      <c r="C10">
        <f ca="1">DATEDIF(C3,TODAY(),"y")</f>
        <v>50</v>
      </c>
      <c r="J10" t="s">
        <v>146</v>
      </c>
      <c r="K10">
        <f ca="1">DATEDIF(K3,TODAY(),"y")</f>
        <v>37</v>
      </c>
      <c r="M10" s="207"/>
      <c r="R10" s="786" t="s">
        <v>62</v>
      </c>
      <c r="S10" s="786"/>
      <c r="T10" s="786"/>
      <c r="U10" s="786"/>
      <c r="V10" s="786"/>
      <c r="W10" s="786"/>
      <c r="X10" s="786"/>
      <c r="Y10" s="787"/>
      <c r="AC10" s="132" t="s">
        <v>81</v>
      </c>
      <c r="AG10" s="140" t="s">
        <v>82</v>
      </c>
      <c r="AK10" s="144" t="s">
        <v>83</v>
      </c>
    </row>
    <row r="11" spans="2:38" ht="15.75" thickBot="1" x14ac:dyDescent="0.3">
      <c r="C11" s="24"/>
      <c r="D11" s="24"/>
      <c r="E11" s="24"/>
      <c r="F11" s="24"/>
      <c r="G11" s="24"/>
      <c r="H11" s="24"/>
      <c r="K11" s="24"/>
      <c r="R11" s="19"/>
      <c r="S11" s="19" t="s">
        <v>20</v>
      </c>
      <c r="T11" s="19" t="s">
        <v>21</v>
      </c>
      <c r="U11" s="19" t="s">
        <v>22</v>
      </c>
      <c r="V11" s="19" t="s">
        <v>23</v>
      </c>
      <c r="W11" s="19" t="s">
        <v>24</v>
      </c>
      <c r="X11" s="20" t="s">
        <v>25</v>
      </c>
      <c r="Y11" s="21" t="s">
        <v>26</v>
      </c>
      <c r="AC11" s="133">
        <f>T39</f>
        <v>11</v>
      </c>
      <c r="AG11" s="141">
        <f>M_3</f>
        <v>17</v>
      </c>
      <c r="AK11" s="145">
        <f>Y_3</f>
        <v>20</v>
      </c>
    </row>
    <row r="12" spans="2:38" ht="20.25" thickBot="1" x14ac:dyDescent="0.4">
      <c r="B12" s="99" t="s">
        <v>63</v>
      </c>
      <c r="C12" s="298">
        <f>numberto22(ABS(D7-D8))</f>
        <v>1</v>
      </c>
      <c r="D12" s="24"/>
      <c r="E12" s="99" t="s">
        <v>72</v>
      </c>
      <c r="F12" s="298">
        <f>numberto22(G9+D15)</f>
        <v>22</v>
      </c>
      <c r="G12" s="99" t="s">
        <v>73</v>
      </c>
      <c r="H12" s="298">
        <f>numberto22(G9+J15)</f>
        <v>12</v>
      </c>
      <c r="J12" s="99" t="s">
        <v>64</v>
      </c>
      <c r="K12" s="298">
        <f>numberto22(ABS(L7-L8))</f>
        <v>5</v>
      </c>
      <c r="M12" s="793" t="s">
        <v>726</v>
      </c>
      <c r="N12" s="793"/>
      <c r="O12" s="793"/>
      <c r="R12" s="19" t="s">
        <v>33</v>
      </c>
      <c r="S12" s="22">
        <f>CalcTP(K7)</f>
        <v>1</v>
      </c>
      <c r="T12" s="22">
        <f>numberto22(ABS(DayTaro2+MonthTaro2))</f>
        <v>7</v>
      </c>
      <c r="U12" s="22">
        <f>numberto22(ABS(DayTaro2+YearTaro2))</f>
        <v>2</v>
      </c>
      <c r="V12" s="22">
        <f>numberto22(ABS(T12+U12))</f>
        <v>9</v>
      </c>
      <c r="W12" s="22">
        <f>numberto22(ABS(MonthTaro2+YearTaro2))</f>
        <v>7</v>
      </c>
      <c r="X12" s="20">
        <f>numberto22(T12+U12+V12+W12)</f>
        <v>3</v>
      </c>
      <c r="Y12" s="21">
        <f>numberto22(X12+X13)</f>
        <v>8</v>
      </c>
    </row>
    <row r="13" spans="2:38" ht="18.75" thickBot="1" x14ac:dyDescent="0.4">
      <c r="B13" s="99" t="s">
        <v>65</v>
      </c>
      <c r="C13" s="298">
        <f>CalcOPV(C7)</f>
        <v>0</v>
      </c>
      <c r="D13" s="24"/>
      <c r="E13" s="24"/>
      <c r="F13" s="24"/>
      <c r="G13" s="24"/>
      <c r="H13" s="24"/>
      <c r="J13" s="99" t="s">
        <v>66</v>
      </c>
      <c r="K13" s="298">
        <f>CalcOPV(K7)</f>
        <v>0</v>
      </c>
      <c r="L13" s="406"/>
      <c r="M13" s="406"/>
      <c r="N13" s="406"/>
      <c r="O13" s="406"/>
      <c r="R13" s="19" t="s">
        <v>36</v>
      </c>
      <c r="S13" s="22">
        <f>CalcOPV(K7)</f>
        <v>0</v>
      </c>
      <c r="T13" s="22">
        <f>numberto22(ABS(DayTaro2-MonthTaro2))</f>
        <v>5</v>
      </c>
      <c r="U13" s="22">
        <f>numberto22(ABS(DayTaro2-YearTaro2))</f>
        <v>22</v>
      </c>
      <c r="V13" s="22">
        <f>numberto22(ABS(T13-U13))</f>
        <v>17</v>
      </c>
      <c r="W13" s="22">
        <f>numberto22(ABS(MonthTaro2-YearTaro2))</f>
        <v>5</v>
      </c>
      <c r="X13" s="20">
        <f>numberto22(T13+U13+V13+W13)</f>
        <v>5</v>
      </c>
      <c r="Y13" s="21">
        <f>numberto22(ABS(X13-X12))</f>
        <v>2</v>
      </c>
      <c r="AG13" s="130" t="s">
        <v>70</v>
      </c>
    </row>
    <row r="14" spans="2:38" ht="18.75" thickBot="1" x14ac:dyDescent="0.4">
      <c r="C14" s="24"/>
      <c r="D14" s="24"/>
      <c r="E14" s="24"/>
      <c r="F14" s="806" t="s">
        <v>694</v>
      </c>
      <c r="G14" s="806"/>
      <c r="H14" s="24"/>
      <c r="K14" s="24"/>
      <c r="M14" s="24" t="str">
        <f>C4</f>
        <v>Дуров</v>
      </c>
      <c r="O14" t="str">
        <f>K4</f>
        <v>Мезенцев</v>
      </c>
      <c r="R14" s="23" t="s">
        <v>42</v>
      </c>
      <c r="S14" s="788" t="str">
        <f>CONCATENATE("0-",M9)</f>
        <v>0-29</v>
      </c>
      <c r="T14" s="788"/>
      <c r="U14" s="23" t="str">
        <f>CONCATENATE(M9+1,"-",M9+9)</f>
        <v>30-38</v>
      </c>
      <c r="V14" s="23" t="str">
        <f>CONCATENATE(M9+10,"-",M9+18)</f>
        <v>39-47</v>
      </c>
      <c r="W14" s="23" t="str">
        <f>CONCATENATE(M9+19,"-и далее")</f>
        <v>48-и далее</v>
      </c>
      <c r="X14" s="23" t="s">
        <v>43</v>
      </c>
      <c r="Y14" s="23" t="s">
        <v>43</v>
      </c>
      <c r="AF14" s="128" t="s">
        <v>100</v>
      </c>
      <c r="AG14" s="131">
        <f>S44</f>
        <v>18</v>
      </c>
      <c r="AH14" s="128" t="s">
        <v>101</v>
      </c>
    </row>
    <row r="15" spans="2:38" ht="18.75" thickBot="1" x14ac:dyDescent="0.4">
      <c r="B15" s="406" t="s">
        <v>242</v>
      </c>
      <c r="C15" s="99" t="s">
        <v>70</v>
      </c>
      <c r="D15" s="298">
        <f>numberto22(D7+D8+D9)</f>
        <v>18</v>
      </c>
      <c r="E15" s="297"/>
      <c r="H15" s="24"/>
      <c r="I15" s="99" t="s">
        <v>71</v>
      </c>
      <c r="J15" s="298">
        <f>numberto22(L7+L8+L9)</f>
        <v>8</v>
      </c>
      <c r="K15" s="406" t="s">
        <v>242</v>
      </c>
      <c r="M15" s="411">
        <f>D4</f>
        <v>5</v>
      </c>
      <c r="O15" s="410">
        <f>L4</f>
        <v>3</v>
      </c>
      <c r="T15">
        <f>COUNTIF($T$13:$X$13,T13)</f>
        <v>3</v>
      </c>
      <c r="U15">
        <f>COUNTIF($T$13:$X$13,U13)</f>
        <v>1</v>
      </c>
      <c r="V15">
        <f>COUNTIF($T$13:$X$13,V13)</f>
        <v>1</v>
      </c>
      <c r="W15">
        <f>COUNTIF($T$13:$X$13,W13)</f>
        <v>3</v>
      </c>
      <c r="X15">
        <f>COUNTIF($T$13:$X$13,X13)</f>
        <v>3</v>
      </c>
      <c r="AF15" s="129">
        <f>T42</f>
        <v>22</v>
      </c>
      <c r="AG15" s="130" t="s">
        <v>71</v>
      </c>
      <c r="AH15" s="129">
        <f>V42</f>
        <v>12</v>
      </c>
    </row>
    <row r="16" spans="2:38" ht="18.75" thickBot="1" x14ac:dyDescent="0.4">
      <c r="B16" s="406">
        <f>SumNumbers(E8)</f>
        <v>4</v>
      </c>
      <c r="C16" s="99" t="s">
        <v>67</v>
      </c>
      <c r="D16" s="298">
        <f>numberto22(D7+D8)</f>
        <v>21</v>
      </c>
      <c r="I16" s="99" t="s">
        <v>69</v>
      </c>
      <c r="J16" s="298">
        <f>numberto22(L7+L8)</f>
        <v>7</v>
      </c>
      <c r="K16" s="406">
        <f>SumNumbers(M8)</f>
        <v>7</v>
      </c>
      <c r="AG16" s="131">
        <f>W44</f>
        <v>8</v>
      </c>
    </row>
    <row r="17" spans="1:40" ht="18.75" thickBot="1" x14ac:dyDescent="0.3">
      <c r="F17" s="725" t="s">
        <v>695</v>
      </c>
      <c r="G17" s="725"/>
      <c r="R17" t="s">
        <v>173</v>
      </c>
      <c r="S17" t="s">
        <v>171</v>
      </c>
      <c r="T17" t="s">
        <v>172</v>
      </c>
      <c r="U17" t="s">
        <v>174</v>
      </c>
      <c r="AG17" s="126" t="s">
        <v>80</v>
      </c>
    </row>
    <row r="18" spans="1:40" ht="30.75" thickBot="1" x14ac:dyDescent="0.3">
      <c r="L18" s="410">
        <f>D4</f>
        <v>5</v>
      </c>
      <c r="M18" s="411">
        <f>L4</f>
        <v>3</v>
      </c>
      <c r="N18" s="307">
        <f>numberto22(L19+O19)</f>
        <v>18</v>
      </c>
      <c r="O18" s="410">
        <f>D5</f>
        <v>6</v>
      </c>
      <c r="P18" s="410">
        <f>L5</f>
        <v>4</v>
      </c>
      <c r="R18">
        <f>IF(55-(2*DOB_Month1 +DOB_Day1)=0,53,55-(2*DOB_Month1 +DOB_Day1))</f>
        <v>23</v>
      </c>
      <c r="S18" s="109">
        <v>1</v>
      </c>
      <c r="T18">
        <f>MAX(T9:X9)</f>
        <v>2</v>
      </c>
      <c r="U18">
        <f>RetrogradeCalc(R18,S18,T18)</f>
        <v>49</v>
      </c>
      <c r="W18" s="265" t="s">
        <v>4</v>
      </c>
      <c r="X18" s="266" t="s">
        <v>5</v>
      </c>
      <c r="Y18" s="266" t="s">
        <v>6</v>
      </c>
      <c r="Z18" s="266" t="s">
        <v>7</v>
      </c>
      <c r="AG18" s="127">
        <f>U41</f>
        <v>4</v>
      </c>
    </row>
    <row r="19" spans="1:40" ht="18.75" thickBot="1" x14ac:dyDescent="0.4">
      <c r="E19" s="299" t="s">
        <v>693</v>
      </c>
      <c r="F19" s="292">
        <f>numberto22(TP_1+G22)</f>
        <v>5</v>
      </c>
      <c r="G19" s="299" t="s">
        <v>693</v>
      </c>
      <c r="H19" s="292">
        <f>numberto22(TP_2+G22)</f>
        <v>13</v>
      </c>
      <c r="K19" s="406"/>
      <c r="L19" s="807">
        <f>numberto22(L18+M18)</f>
        <v>8</v>
      </c>
      <c r="M19" s="808"/>
      <c r="N19" s="307">
        <f>ABS(numberto22(L19-O19))</f>
        <v>2</v>
      </c>
      <c r="O19" s="791">
        <f>numberto22(O18+P18)</f>
        <v>10</v>
      </c>
      <c r="P19" s="792"/>
      <c r="R19">
        <f>IF(55-(2*DOB_Month2 +DOB_Day2)=0, 53,55-(2*DOB_Month2 +DOB_Day2))</f>
        <v>20</v>
      </c>
      <c r="S19" s="110">
        <v>1</v>
      </c>
      <c r="T19">
        <f>MAX(T15:X15)</f>
        <v>3</v>
      </c>
      <c r="U19">
        <f>RetrogradeCalc(R19,S19,T19)</f>
        <v>47</v>
      </c>
      <c r="W19" s="393">
        <f>SumNumbers(CONCATENATE(C7,C8,C9))</f>
        <v>22</v>
      </c>
      <c r="X19" s="394">
        <f>SumNumbers(W19)</f>
        <v>4</v>
      </c>
      <c r="Y19" s="394">
        <f>ABS(W19-(2*MID(DOB_Day1, 1,1)))</f>
        <v>20</v>
      </c>
      <c r="Z19" s="394">
        <f>SumNumbers(Y19)</f>
        <v>2</v>
      </c>
    </row>
    <row r="20" spans="1:40" ht="15.75" thickBot="1" x14ac:dyDescent="0.3">
      <c r="K20" s="407"/>
      <c r="L20" s="794" t="s">
        <v>727</v>
      </c>
      <c r="M20" s="794"/>
      <c r="N20" s="406" t="s">
        <v>728</v>
      </c>
      <c r="O20" s="794" t="s">
        <v>729</v>
      </c>
      <c r="P20" s="794"/>
      <c r="S20" t="s">
        <v>177</v>
      </c>
      <c r="W20" s="393">
        <f>SumNumbers(CONCATENATE(K7,K8,K9))</f>
        <v>34</v>
      </c>
      <c r="X20" s="394">
        <f>SumNumbers(W20)</f>
        <v>7</v>
      </c>
      <c r="Y20" s="394">
        <f>ABS(W20-(2*MID(DOB_Day2, 1,1)))</f>
        <v>30</v>
      </c>
      <c r="Z20" s="394">
        <f>SumNumbers(Y20)</f>
        <v>3</v>
      </c>
    </row>
    <row r="21" spans="1:40" ht="15.75" thickBot="1" x14ac:dyDescent="0.3">
      <c r="AC21" t="s">
        <v>215</v>
      </c>
      <c r="AH21" s="120">
        <v>2018</v>
      </c>
      <c r="AI21" t="s">
        <v>216</v>
      </c>
    </row>
    <row r="22" spans="1:40" ht="18.75" thickBot="1" x14ac:dyDescent="0.4">
      <c r="F22" s="299" t="s">
        <v>68</v>
      </c>
      <c r="G22" s="298">
        <f>numberto22(D16+J16)</f>
        <v>6</v>
      </c>
      <c r="R22" s="347" t="str">
        <f>CONCATENATE(CONCATENATE(DOB_Day1,DOB_Month1,DOB_Year1),W19,X19,Y19,Z19)</f>
        <v>10111972224202</v>
      </c>
      <c r="S22" s="65"/>
      <c r="T22" s="65"/>
      <c r="V22" s="347" t="str">
        <f>CONCATENATE(CONCATENATE(DOB_Day2,DOB_Month2,DOB_Year2),W20,X20,Y20,Z20)</f>
        <v>2361985347303</v>
      </c>
      <c r="W22" s="65"/>
      <c r="X22" s="65"/>
    </row>
    <row r="23" spans="1:40" ht="18.75" thickBot="1" x14ac:dyDescent="0.4">
      <c r="F23" s="299" t="s">
        <v>130</v>
      </c>
      <c r="G23" s="298">
        <f>ABS(numberto22(OPV_1-OPV_2))</f>
        <v>4</v>
      </c>
      <c r="H23" s="24"/>
      <c r="K23" s="24"/>
      <c r="R23" s="646" t="str">
        <f>CONCATENATE("Квадрат Пифогора - ", Name1)</f>
        <v>Квадрат Пифогора - Павел</v>
      </c>
      <c r="S23" s="646"/>
      <c r="T23" s="646"/>
      <c r="V23" s="646" t="str">
        <f>CONCATENATE("Квадрат Пифогора - ", Name2)</f>
        <v>Квадрат Пифогора - Олеся</v>
      </c>
      <c r="W23" s="646"/>
      <c r="X23" s="646"/>
      <c r="AB23" s="803">
        <f>AH21</f>
        <v>2018</v>
      </c>
      <c r="AC23" s="285">
        <f>DATE(AH21,1,1)</f>
        <v>43101</v>
      </c>
      <c r="AD23" s="73" t="s">
        <v>217</v>
      </c>
      <c r="AE23" s="73" t="s">
        <v>222</v>
      </c>
      <c r="AF23" s="73" t="s">
        <v>218</v>
      </c>
      <c r="AG23" s="73" t="s">
        <v>222</v>
      </c>
      <c r="AH23" s="73" t="s">
        <v>217</v>
      </c>
      <c r="AI23" s="73" t="s">
        <v>218</v>
      </c>
      <c r="AJ23" s="73" t="s">
        <v>217</v>
      </c>
      <c r="AK23" s="73" t="s">
        <v>222</v>
      </c>
      <c r="AL23" s="73" t="s">
        <v>218</v>
      </c>
      <c r="AM23" s="73" t="s">
        <v>222</v>
      </c>
      <c r="AN23" s="103"/>
    </row>
    <row r="24" spans="1:40" ht="15.75" thickBot="1" x14ac:dyDescent="0.3">
      <c r="R24" s="153" t="str">
        <f>ArrayRepeatNum("1", CountNumber(R22,1))</f>
        <v xml:space="preserve">1 1 1 1 </v>
      </c>
      <c r="S24" s="154" t="str">
        <f>ArrayRepeatNum("4", CountNumber(R22,4))</f>
        <v xml:space="preserve">4 </v>
      </c>
      <c r="T24" s="155" t="str">
        <f>ArrayRepeatNum("7", CountNumber(R22,7))</f>
        <v xml:space="preserve">7 </v>
      </c>
      <c r="V24" s="153" t="str">
        <f>ArrayRepeatNum("1", CountNumber(V22,1))</f>
        <v xml:space="preserve">1 </v>
      </c>
      <c r="W24" s="154" t="str">
        <f>ArrayRepeatNum("4", CountNumber(V22,4))</f>
        <v xml:space="preserve">4 </v>
      </c>
      <c r="X24" s="155" t="str">
        <f>ArrayRepeatNum("7", CountNumber(V22,7))</f>
        <v xml:space="preserve">7 </v>
      </c>
      <c r="AB24" s="804"/>
      <c r="AC24" s="112">
        <f>SolarDate(C3,AC23)</f>
        <v>43049</v>
      </c>
      <c r="AD24" s="122">
        <f>numberto22(SumNumbers(CONCATENATE(DOB_Day1,DOB_Month1,YEAR(SolarDate($C$3,AC23)))))</f>
        <v>13</v>
      </c>
      <c r="AE24" s="123">
        <f>ABS(numberto22(AD24+NameArc1*KarmicShadow($C$3,$AC$23,VALUE($T$7))))</f>
        <v>9</v>
      </c>
      <c r="AF24" s="119">
        <f>numberto22((numberto22(DOB_Day1)+numberto22(DOB_Month1)+numberto22(SumNumbers(YEAR(SolarDate($C$3,AC23))))))</f>
        <v>9</v>
      </c>
      <c r="AG24" s="123">
        <f>ABS(numberto22(AF24+NameArc1*KarmicShadow($C$3,$AC$23,VALUE($T$7))))</f>
        <v>13</v>
      </c>
      <c r="AH24" s="116">
        <f>numberto22(AD24+AJ24)</f>
        <v>12</v>
      </c>
      <c r="AI24" s="114">
        <f>numberto22(AF24+AL24)</f>
        <v>4</v>
      </c>
      <c r="AJ24" s="124">
        <f>numberto22(SumNumbers(CONCATENATE(DOB_Day2,DOB_Month2,YEAR(SolarDate($K$3,AC23)))))</f>
        <v>21</v>
      </c>
      <c r="AK24" s="118">
        <f>ABS(numberto22(AJ24+NameArc2*KarmicShadow($C$3,$AC$23,VALUE($T$13))))</f>
        <v>19</v>
      </c>
      <c r="AL24" s="118">
        <f>numberto22((numberto22(DOB_Day2)+numberto22(DOB_Month2)+numberto22(SumNumbers(YEAR(SolarDate($K$3,AC23))))))</f>
        <v>17</v>
      </c>
      <c r="AM24" s="118">
        <f>ABS(numberto22(AL24+NameArc2*KarmicShadow($C$3,$AC$23,VALUE($T$13))))</f>
        <v>15</v>
      </c>
      <c r="AN24" s="113">
        <f>SolarDate($K$3,AC23)</f>
        <v>42909</v>
      </c>
    </row>
    <row r="25" spans="1:40" ht="18" x14ac:dyDescent="0.35">
      <c r="A25" s="66" t="s">
        <v>84</v>
      </c>
      <c r="R25" s="156" t="str">
        <f>ArrayRepeatNum("2", CountNumber(R22,2))</f>
        <v xml:space="preserve">2 2 2 2 2 </v>
      </c>
      <c r="S25" s="157" t="str">
        <f>ArrayRepeatNum("5", CountNumber(R22,5))</f>
        <v>нет</v>
      </c>
      <c r="T25" s="158" t="str">
        <f>ArrayRepeatNum("8", CountNumber(R22,8))</f>
        <v>нет</v>
      </c>
      <c r="V25" s="156" t="str">
        <f>ArrayRepeatNum("2", CountNumber(V22,2))</f>
        <v xml:space="preserve">2 </v>
      </c>
      <c r="W25" s="157" t="str">
        <f>ArrayRepeatNum("5", CountNumber(V22,5))</f>
        <v xml:space="preserve">5 </v>
      </c>
      <c r="X25" s="158" t="str">
        <f>ArrayRepeatNum("8", CountNumber(V22,8))</f>
        <v xml:space="preserve">8 </v>
      </c>
      <c r="AB25" s="804"/>
      <c r="AC25" s="75" t="s">
        <v>223</v>
      </c>
      <c r="AD25" s="125" t="str">
        <f>IF(COUNTIF($S$7:$X$7,AD24)&gt;0, "Да", "Нет")</f>
        <v>Нет</v>
      </c>
      <c r="AE25" s="125" t="str">
        <f>IF(COUNTIF($S$7:$X$7,AE24)&gt;0, "Да", "Нет")</f>
        <v>Да</v>
      </c>
      <c r="AF25" s="125" t="str">
        <f>IF(COUNTIF($S$7:$X$7,AF24)&gt;0, "Да", "Нет")</f>
        <v>Да</v>
      </c>
      <c r="AG25" s="125" t="str">
        <f>IF(COUNTIF($S$7:$X$7,AG24)&gt;0, "Да", "Нет")</f>
        <v>Нет</v>
      </c>
      <c r="AH25" s="286" t="str">
        <f>IF(COUNTIF($S$7:$X$7,AH24)&gt;0, "Да 1","Нет 1")</f>
        <v>Нет 1</v>
      </c>
      <c r="AI25" s="286" t="str">
        <f>IF(COUNTIF($S$7:$X$7,AI24)&gt;0, "Да 1","Нет 1")</f>
        <v>Да 1</v>
      </c>
      <c r="AJ25" s="125" t="str">
        <f>IF(COUNTIF($S$13:$X$13,AJ24)&gt;0, "Да", "Нет")</f>
        <v>Нет</v>
      </c>
      <c r="AK25" s="125" t="str">
        <f>IF(COUNTIF($S$13:$X$13,AK24)&gt;0, "Да", "Нет")</f>
        <v>Нет</v>
      </c>
      <c r="AL25" s="125" t="str">
        <f>IF(COUNTIF($S$13:$X$13,AL24)&gt;0, "Да", "Нет")</f>
        <v>Да</v>
      </c>
      <c r="AM25" s="125" t="str">
        <f>IF(COUNTIF($S$13:$X$13,AM24)&gt;0, "Да", "Нет")</f>
        <v>Нет</v>
      </c>
      <c r="AN25" s="104"/>
    </row>
    <row r="26" spans="1:40" ht="15.75" thickBot="1" x14ac:dyDescent="0.3">
      <c r="A26" s="66" t="s">
        <v>85</v>
      </c>
      <c r="R26" s="159" t="str">
        <f>ArrayRepeatNum("3", CountNumber(R22,3))</f>
        <v>нет</v>
      </c>
      <c r="S26" s="160" t="str">
        <f>ArrayRepeatNum("6", CountNumber(R22,6))</f>
        <v>нет</v>
      </c>
      <c r="T26" s="161" t="str">
        <f>ArrayRepeatNum("9", CountNumber(R22,9))</f>
        <v xml:space="preserve">9 </v>
      </c>
      <c r="V26" s="159" t="str">
        <f>ArrayRepeatNum("3", CountNumber(V22,3))</f>
        <v xml:space="preserve">3 3 3 3 </v>
      </c>
      <c r="W26" s="160" t="str">
        <f>ArrayRepeatNum("6", CountNumber(V22,6))</f>
        <v xml:space="preserve">6 </v>
      </c>
      <c r="X26" s="161" t="str">
        <f>ArrayRepeatNum("9", CountNumber(V22,9))</f>
        <v xml:space="preserve">9 </v>
      </c>
      <c r="AB26" s="804"/>
      <c r="AC26" s="287">
        <f>IF(DATE(AH21,DOB_Month1,DOB_Day1)&gt;DATE(AH21,DOB_Month2,DOB_Day2),DATE(AH21,DOB_Month2,DOB_Day2),DATE(AH21,DOB_Month1,DOB_Day1))</f>
        <v>43274</v>
      </c>
      <c r="AD26" s="65"/>
      <c r="AE26" s="65"/>
      <c r="AF26" s="65"/>
      <c r="AG26" s="65"/>
      <c r="AH26" s="125" t="str">
        <f>IF(COUNTIF($S$13:$X$13,AH24)&gt;0, "Да 2", "Нет 2")</f>
        <v>Нет 2</v>
      </c>
      <c r="AI26" s="125" t="str">
        <f>IF(COUNTIF($S$13:$X$13,AI24)&gt;0, "Да 2", "Нет 2")</f>
        <v>Нет 2</v>
      </c>
      <c r="AJ26" s="65"/>
      <c r="AK26" s="65"/>
      <c r="AL26" s="65"/>
      <c r="AM26" s="65"/>
      <c r="AN26" s="104"/>
    </row>
    <row r="27" spans="1:40" ht="18.75" thickBot="1" x14ac:dyDescent="0.4">
      <c r="A27" t="s">
        <v>63</v>
      </c>
      <c r="B27" s="24">
        <f>OPV_1</f>
        <v>1</v>
      </c>
      <c r="C27" s="64" t="str">
        <f t="shared" ref="C27:C32" si="0">IF(B27=CZ_3, "Да", "Нет")</f>
        <v>Нет</v>
      </c>
      <c r="D27" s="65" t="s">
        <v>80</v>
      </c>
      <c r="E27" s="24">
        <f>CZ_3</f>
        <v>4</v>
      </c>
      <c r="F27" s="24"/>
      <c r="G27" t="s">
        <v>64</v>
      </c>
      <c r="H27" s="24">
        <f>OPV_2</f>
        <v>5</v>
      </c>
      <c r="I27" s="64" t="str">
        <f t="shared" ref="I27:I32" si="1">IF(H27=CZ_3, "Да", "Нет")</f>
        <v>Нет</v>
      </c>
      <c r="J27" s="24"/>
      <c r="AB27" s="804"/>
      <c r="AC27" s="112">
        <f>SolarDate(C3,IF(DATE(AH21,DOB_Month1,DOB_Day1)&gt;DATE(AH21,DOB_Month2,DOB_Day2),DATE(AH21,DOB_Month2,DOB_Day2),DATE(AH21,DOB_Month1,DOB_Day1)))</f>
        <v>43049</v>
      </c>
      <c r="AD27" s="119">
        <f>numberto22(SumNumbers(CONCATENATE(DOB_Day1,DOB_Month1,YEAR(SolarDate($C$3,AC27)))))</f>
        <v>13</v>
      </c>
      <c r="AE27" s="123">
        <f>ABS(numberto22(AD27+NameArc1*KarmicShadow($C$3,AC26,VALUE($T$7))))</f>
        <v>9</v>
      </c>
      <c r="AF27" s="119">
        <f>numberto22((numberto22(DOB_Day1)+numberto22(DOB_Month1)+numberto22(SumNumbers(YEAR(SolarDate($C$3,AC27))))))</f>
        <v>9</v>
      </c>
      <c r="AG27" s="123">
        <f>ABS(numberto22(AF27+NameArc1*KarmicShadow($C$3,AC26,VALUE($T$7))))</f>
        <v>13</v>
      </c>
      <c r="AH27" s="117">
        <f>numberto22(AD27+AJ27)</f>
        <v>13</v>
      </c>
      <c r="AI27" s="115">
        <f>numberto22(AF27+AL27)</f>
        <v>5</v>
      </c>
      <c r="AJ27" s="118">
        <f>numberto22(SumNumbers(CONCATENATE(DOB_Day2,DOB_Month2,YEAR(SolarDate($K$3,AN27)))))</f>
        <v>22</v>
      </c>
      <c r="AK27" s="118">
        <f>ABS(numberto22(AJ27+NameArc2*KarmicShadow($C$3,$AC$26,VALUE($T$13))))</f>
        <v>20</v>
      </c>
      <c r="AL27" s="118">
        <f>numberto22((numberto22(DOB_Day2)+numberto22(DOB_Month2)+numberto22(SumNumbers(YEAR(SolarDate($K$3,AN27))))))</f>
        <v>18</v>
      </c>
      <c r="AM27" s="118">
        <f>ABS(numberto22(AL27+NameArc2*KarmicShadow($C$3,$AC$26,VALUE($T$13))))</f>
        <v>16</v>
      </c>
      <c r="AN27" s="113">
        <f>SolarDate($K$3,IF(DATE(AH21,DOB_Month1,DOB_Day1)&gt;DATE(AH21,DOB_Month2,DOB_Day2),DATE(AH21,DOB_Month2,DOB_Day2),DATE(AH21,DOB_Month1,DOB_Day1)))</f>
        <v>43274</v>
      </c>
    </row>
    <row r="28" spans="1:40" ht="23.25" x14ac:dyDescent="0.35">
      <c r="A28" t="s">
        <v>65</v>
      </c>
      <c r="B28" s="24">
        <f>OPV1_Dop</f>
        <v>0</v>
      </c>
      <c r="C28" s="64" t="str">
        <f t="shared" si="0"/>
        <v>Нет</v>
      </c>
      <c r="D28" s="24"/>
      <c r="E28" s="24"/>
      <c r="F28" s="24"/>
      <c r="G28" t="s">
        <v>66</v>
      </c>
      <c r="H28" s="24">
        <f>OPV2_Dop</f>
        <v>0</v>
      </c>
      <c r="I28" s="64" t="str">
        <f t="shared" si="1"/>
        <v>Нет</v>
      </c>
      <c r="J28" s="24"/>
      <c r="L28" s="796" t="s">
        <v>713</v>
      </c>
      <c r="M28" s="796"/>
      <c r="N28" s="796"/>
      <c r="O28" s="796"/>
      <c r="P28" s="796"/>
      <c r="R28" s="796" t="s">
        <v>225</v>
      </c>
      <c r="S28" s="796"/>
      <c r="T28" s="796"/>
      <c r="U28" s="796"/>
      <c r="V28" s="796"/>
      <c r="W28" s="796"/>
      <c r="X28" s="796"/>
      <c r="AB28" s="804"/>
      <c r="AC28" s="75" t="s">
        <v>223</v>
      </c>
      <c r="AD28" s="125" t="str">
        <f>IF(COUNTIF($S$7:$X$7,AD27)&gt;0, "Да", "Нет")</f>
        <v>Нет</v>
      </c>
      <c r="AE28" s="125" t="str">
        <f>IF(COUNTIF($S$7:$X$7,AE27)&gt;0, "Да", "Нет")</f>
        <v>Да</v>
      </c>
      <c r="AF28" s="125" t="str">
        <f>IF(COUNTIF($S$7:$X$7,AF27)&gt;0, "Да", "Нет")</f>
        <v>Да</v>
      </c>
      <c r="AG28" s="125" t="str">
        <f>IF(COUNTIF($S$7:$X$7,AG27)&gt;0, "Да", "Нет")</f>
        <v>Нет</v>
      </c>
      <c r="AH28" s="125" t="str">
        <f>IF(COUNTIF($S$7:$X$7,AH27)&gt;0, "Да 1", "Нет 1")</f>
        <v>Нет 1</v>
      </c>
      <c r="AI28" s="125" t="str">
        <f>IF(COUNTIF($S$7:$X$7,AI27)&gt;0, "Да 1", "Нет 1")</f>
        <v>Нет 1</v>
      </c>
      <c r="AJ28" s="125" t="str">
        <f>IF(COUNTIF($S$13:$X$13,AJ27)&gt;0, "Да", "Нет")</f>
        <v>Да</v>
      </c>
      <c r="AK28" s="125" t="str">
        <f>IF(COUNTIF($S$13:$X$13,AK27)&gt;0, "Да", "Нет")</f>
        <v>Нет</v>
      </c>
      <c r="AL28" s="125" t="str">
        <f>IF(COUNTIF($S$13:$X$13,AL27)&gt;0, "Да", "Нет")</f>
        <v>Нет</v>
      </c>
      <c r="AM28" s="125" t="str">
        <f>IF(COUNTIF($S$13:$X$13,AM27)&gt;0, "Да", "Нет")</f>
        <v>Нет</v>
      </c>
      <c r="AN28" s="104"/>
    </row>
    <row r="29" spans="1:40" ht="18.75" thickBot="1" x14ac:dyDescent="0.4">
      <c r="A29" t="s">
        <v>92</v>
      </c>
      <c r="B29" s="24">
        <f>$U$7</f>
        <v>9</v>
      </c>
      <c r="C29" s="64" t="str">
        <f t="shared" si="0"/>
        <v>Нет</v>
      </c>
      <c r="D29" s="24"/>
      <c r="E29" s="24"/>
      <c r="F29" s="24"/>
      <c r="G29" t="s">
        <v>93</v>
      </c>
      <c r="H29" s="24">
        <f>$U$13</f>
        <v>22</v>
      </c>
      <c r="I29" s="64" t="str">
        <f t="shared" si="1"/>
        <v>Нет</v>
      </c>
      <c r="J29" s="24"/>
      <c r="W29" s="150" t="s">
        <v>1</v>
      </c>
      <c r="AB29" s="804"/>
      <c r="AC29" s="287">
        <f>IF(DATE(AH21,DOB_Month1,DOB_Day1)&lt;DATE(AH21,DOB_Month2,DOB_Day2),DATE(AH21,DOB_Month2,DOB_Day2),DATE(AH21,DOB_Month1,DOB_Day1))</f>
        <v>43414</v>
      </c>
      <c r="AD29" s="65"/>
      <c r="AE29" s="65"/>
      <c r="AF29" s="65"/>
      <c r="AG29" s="65"/>
      <c r="AH29" s="125" t="str">
        <f>IF(COUNTIF($S$13:$X$13,AH27)&gt;0, "Да 2", "Нет 2")</f>
        <v>Нет 2</v>
      </c>
      <c r="AI29" s="125" t="str">
        <f>IF(COUNTIF($S$13:$X$13,AI27)&gt;0, "Да 2", "Нет 2")</f>
        <v>Да 2</v>
      </c>
      <c r="AJ29" s="65"/>
      <c r="AK29" s="65"/>
      <c r="AL29" s="65"/>
      <c r="AM29" s="65"/>
      <c r="AN29" s="104"/>
    </row>
    <row r="30" spans="1:40" ht="18.75" thickBot="1" x14ac:dyDescent="0.4">
      <c r="A30" t="s">
        <v>94</v>
      </c>
      <c r="B30" s="24">
        <f>$V$7</f>
        <v>8</v>
      </c>
      <c r="C30" s="64" t="str">
        <f t="shared" si="0"/>
        <v>Нет</v>
      </c>
      <c r="D30" s="24"/>
      <c r="E30" s="24"/>
      <c r="F30" s="24"/>
      <c r="G30" t="s">
        <v>95</v>
      </c>
      <c r="H30" s="24">
        <f>$V$13</f>
        <v>17</v>
      </c>
      <c r="I30" s="64" t="str">
        <f t="shared" si="1"/>
        <v>Нет</v>
      </c>
      <c r="J30" s="24"/>
      <c r="N30" s="378" t="s">
        <v>714</v>
      </c>
      <c r="R30" s="151" t="s">
        <v>67</v>
      </c>
      <c r="S30" s="152">
        <f>TP_1</f>
        <v>21</v>
      </c>
      <c r="U30" s="389" t="s">
        <v>68</v>
      </c>
      <c r="V30" s="390">
        <f>numberto22(S30+Y30)</f>
        <v>6</v>
      </c>
      <c r="X30" s="151" t="s">
        <v>69</v>
      </c>
      <c r="Y30" s="152">
        <f>TP_2</f>
        <v>7</v>
      </c>
      <c r="AB30" s="804"/>
      <c r="AC30" s="112">
        <f>DATE(AH21,12,31)</f>
        <v>43465</v>
      </c>
      <c r="AD30" s="119">
        <f>numberto22(SumNumbers(CONCATENATE(DOB_Day1,DOB_Month1,YEAR(SolarDate($C$3,AC30)))))</f>
        <v>14</v>
      </c>
      <c r="AE30" s="123">
        <f>ABS(numberto22(AD30+NameArc1*KarmicShadow($C$3,AC29,VALUE($T$7))))</f>
        <v>8</v>
      </c>
      <c r="AF30" s="119">
        <f>numberto22((numberto22(DOB_Day1)+numberto22(DOB_Month1)+numberto22(SumNumbers(YEAR(SolarDate($C$3,AC30))))))</f>
        <v>10</v>
      </c>
      <c r="AG30" s="123">
        <f>ABS(numberto22(AF30+NameArc1*KarmicShadow($C$3,AC29,VALUE($T$7))))</f>
        <v>12</v>
      </c>
      <c r="AH30" s="116">
        <f>numberto22(AD30+AJ30)</f>
        <v>14</v>
      </c>
      <c r="AI30" s="114">
        <f>numberto22(AF30+AL30)</f>
        <v>6</v>
      </c>
      <c r="AJ30" s="118">
        <f>numberto22(SumNumbers(CONCATENATE(DOB_Day2,DOB_Month2,YEAR(SolarDate($K$3,AN30)))))</f>
        <v>22</v>
      </c>
      <c r="AK30" s="118">
        <f>ABS(numberto22(AJ30+NameArc2*KarmicShadow($C$3,$AC$29,VALUE($T$13))))</f>
        <v>20</v>
      </c>
      <c r="AL30" s="118">
        <f>numberto22((numberto22(DOB_Day2)+numberto22(DOB_Month2)+numberto22(SumNumbers(YEAR(SolarDate($K$3,AN30))))))</f>
        <v>18</v>
      </c>
      <c r="AM30" s="118">
        <f>ABS(numberto22(AL30+NameArc2*KarmicShadow($C$3,$AC$29,VALUE($T$13))))</f>
        <v>16</v>
      </c>
      <c r="AN30" s="113">
        <f>DATE(AH21,12,31)</f>
        <v>43465</v>
      </c>
    </row>
    <row r="31" spans="1:40" ht="18.75" thickBot="1" x14ac:dyDescent="0.4">
      <c r="A31" t="s">
        <v>96</v>
      </c>
      <c r="B31" s="24">
        <f>$W$7</f>
        <v>8</v>
      </c>
      <c r="C31" s="64" t="str">
        <f t="shared" si="0"/>
        <v>Нет</v>
      </c>
      <c r="D31" s="24"/>
      <c r="E31" s="24"/>
      <c r="F31" s="24"/>
      <c r="G31" t="s">
        <v>97</v>
      </c>
      <c r="H31" s="24">
        <f>$W$13</f>
        <v>5</v>
      </c>
      <c r="I31" s="64" t="str">
        <f t="shared" si="1"/>
        <v>Нет</v>
      </c>
      <c r="J31" s="24"/>
      <c r="N31" s="381">
        <f>NumberTo52(L37+P37)</f>
        <v>44</v>
      </c>
      <c r="R31" s="403" t="s">
        <v>63</v>
      </c>
      <c r="S31" s="404">
        <f>OPV_1</f>
        <v>1</v>
      </c>
      <c r="U31" s="401" t="s">
        <v>130</v>
      </c>
      <c r="V31" s="402">
        <f>ABS(numberto22(S31-Y31))</f>
        <v>4</v>
      </c>
      <c r="X31" s="403" t="s">
        <v>64</v>
      </c>
      <c r="Y31" s="404">
        <f>OPV_2</f>
        <v>5</v>
      </c>
      <c r="AB31" s="804"/>
      <c r="AC31" s="75" t="s">
        <v>223</v>
      </c>
      <c r="AD31" s="125" t="str">
        <f>IF(COUNTIF($S$7:$X$7,AD30)&gt;0, "Да", "Нет")</f>
        <v>Нет</v>
      </c>
      <c r="AE31" s="125" t="str">
        <f>IF(COUNTIF($S$7:$X$7,AE30)&gt;0, "Да", "Нет")</f>
        <v>Да</v>
      </c>
      <c r="AF31" s="125" t="str">
        <f>IF(COUNTIF($S$7:$X$7,AF30)&gt;0, "Да", "Нет")</f>
        <v>Нет</v>
      </c>
      <c r="AG31" s="125" t="str">
        <f>IF(COUNTIF($S$7:$X$7,AG30)&gt;0, "Да", "Нет")</f>
        <v>Нет</v>
      </c>
      <c r="AH31" s="125" t="str">
        <f>IF(COUNTIF($S$7:$X$7,AH30)&gt;0, "Да 1", "Нет 1")</f>
        <v>Нет 1</v>
      </c>
      <c r="AI31" s="125" t="str">
        <f>IF(COUNTIF($S$7:$X$7,AI30)&gt;0, "Да 1", "Нет 1")</f>
        <v>Нет 1</v>
      </c>
      <c r="AJ31" s="125" t="str">
        <f>IF(COUNTIF($S$13:$X$13,AJ30)&gt;0, "Да", "Нет")</f>
        <v>Да</v>
      </c>
      <c r="AK31" s="125" t="str">
        <f>IF(COUNTIF($S$13:$X$13,AK30)&gt;0, "Да", "Нет")</f>
        <v>Нет</v>
      </c>
      <c r="AL31" s="125" t="str">
        <f>IF(COUNTIF($S$13:$X$13,AL30)&gt;0, "Да", "Нет")</f>
        <v>Нет</v>
      </c>
      <c r="AM31" s="125" t="str">
        <f>IF(COUNTIF($S$13:$X$13,AM30)&gt;0, "Да", "Нет")</f>
        <v>Нет</v>
      </c>
      <c r="AN31" s="104"/>
    </row>
    <row r="32" spans="1:40" ht="18.75" customHeight="1" thickBot="1" x14ac:dyDescent="0.4">
      <c r="A32" s="65" t="s">
        <v>220</v>
      </c>
      <c r="B32" s="65">
        <f>$X$7</f>
        <v>4</v>
      </c>
      <c r="C32" s="64" t="str">
        <f t="shared" si="0"/>
        <v>Да</v>
      </c>
      <c r="D32" s="24"/>
      <c r="E32" s="24"/>
      <c r="F32" s="24"/>
      <c r="G32" s="65" t="s">
        <v>221</v>
      </c>
      <c r="H32" s="65">
        <f>$X$13</f>
        <v>5</v>
      </c>
      <c r="I32" s="64" t="str">
        <f t="shared" si="1"/>
        <v>Нет</v>
      </c>
      <c r="J32" s="24"/>
      <c r="AB32" s="805"/>
      <c r="AC32" s="288">
        <f>AC30</f>
        <v>43465</v>
      </c>
      <c r="AD32" s="79"/>
      <c r="AE32" s="79"/>
      <c r="AF32" s="79"/>
      <c r="AG32" s="79"/>
      <c r="AH32" s="289" t="str">
        <f>IF(COUNTIF($S$13:$X$13,AH30)&gt;0, "Да 2", "Нет 2")</f>
        <v>Нет 2</v>
      </c>
      <c r="AI32" s="289" t="str">
        <f>IF(COUNTIF($S$13:$X$13,AI30)&gt;0, "Да 2", "Нет 2")</f>
        <v>Нет 2</v>
      </c>
      <c r="AJ32" s="79"/>
      <c r="AK32" s="79"/>
      <c r="AL32" s="79"/>
      <c r="AM32" s="79"/>
      <c r="AN32" s="235"/>
    </row>
    <row r="33" spans="1:40" ht="18.75" thickBot="1" x14ac:dyDescent="0.3">
      <c r="A33" s="66" t="s">
        <v>98</v>
      </c>
      <c r="B33" s="24"/>
      <c r="C33" s="24"/>
      <c r="D33" s="24"/>
      <c r="E33" s="24"/>
      <c r="F33" s="24"/>
      <c r="G33" s="24"/>
      <c r="H33" s="24"/>
      <c r="I33" s="24"/>
      <c r="J33" s="24"/>
      <c r="M33" s="378" t="s">
        <v>715</v>
      </c>
      <c r="O33" s="378" t="s">
        <v>716</v>
      </c>
      <c r="S33" s="142" t="str">
        <f>Name1</f>
        <v>Павел</v>
      </c>
      <c r="T33" s="791" t="s">
        <v>709</v>
      </c>
      <c r="U33" s="800"/>
      <c r="V33" s="792"/>
      <c r="W33" s="142" t="str">
        <f>Name2</f>
        <v>Олеся</v>
      </c>
      <c r="AB33" s="803">
        <f>AB23+1</f>
        <v>2019</v>
      </c>
      <c r="AC33" s="287">
        <f>IF(DATE(AB33,DOB_Month1,DOB_Day1)&gt;DATE(AB33,DOB_Month2,DOB_Day2),DATE(AB33,DOB_Month2,DOB_Day2),DATE(AB33,DOB_Month1,DOB_Day1))</f>
        <v>43639</v>
      </c>
      <c r="AD33" s="65"/>
      <c r="AE33" s="65"/>
      <c r="AF33" s="65"/>
      <c r="AG33" s="65"/>
      <c r="AH33" s="125"/>
      <c r="AI33" s="125"/>
      <c r="AJ33" s="65"/>
      <c r="AK33" s="65"/>
      <c r="AL33" s="65"/>
      <c r="AM33" s="65"/>
      <c r="AN33" s="104"/>
    </row>
    <row r="34" spans="1:40" ht="15.75" thickBot="1" x14ac:dyDescent="0.3">
      <c r="A34" s="66" t="s">
        <v>99</v>
      </c>
      <c r="B34" s="24"/>
      <c r="C34" s="24"/>
      <c r="D34" s="24"/>
      <c r="E34" s="24"/>
      <c r="F34" s="24"/>
      <c r="G34" s="24"/>
      <c r="H34" s="24"/>
      <c r="I34" s="24"/>
      <c r="J34" s="24"/>
      <c r="M34" s="381">
        <f>NumberTo52(L37+N31)</f>
        <v>41</v>
      </c>
      <c r="O34" s="379">
        <f>NumberTo52(N31+P37)</f>
        <v>39</v>
      </c>
      <c r="S34" s="143">
        <f>MonthTaro1</f>
        <v>11</v>
      </c>
      <c r="U34" s="388" t="s">
        <v>708</v>
      </c>
      <c r="W34" s="143">
        <f>MonthTaro2</f>
        <v>6</v>
      </c>
      <c r="AB34" s="804"/>
      <c r="AC34" s="112">
        <f>SolarDate(C3,IF(DATE(AB33,DOB_Month1,DOB_Day1)&gt;DATE(AB33,DOB_Month2,DOB_Day2),DATE(AB33,DOB_Month2,DOB_Day2),DATE(AB33,DOB_Month1,DOB_Day1)))</f>
        <v>43414</v>
      </c>
      <c r="AD34" s="119">
        <f>numberto22(SumNumbers(CONCATENATE(DOB_Day1,DOB_Month1,YEAR(SolarDate($C$3,AC34)))))</f>
        <v>14</v>
      </c>
      <c r="AE34" s="123">
        <f>ABS(numberto22(AD34+NameArc1*KarmicShadow($C$3,AC33,VALUE($T$7))))</f>
        <v>14</v>
      </c>
      <c r="AF34" s="119">
        <f>numberto22((numberto22(DOB_Day1)+numberto22(DOB_Month1)+numberto22(SumNumbers(YEAR(SolarDate($C$3,AC34))))))</f>
        <v>10</v>
      </c>
      <c r="AG34" s="123">
        <f>ABS(numberto22(AF34+NameArc1*KarmicShadow($C$3,AC33,VALUE($T$7))))</f>
        <v>10</v>
      </c>
      <c r="AH34" s="117">
        <f>numberto22(AD34+AJ34)</f>
        <v>15</v>
      </c>
      <c r="AI34" s="115">
        <f>numberto22(AF34+AL34)</f>
        <v>7</v>
      </c>
      <c r="AJ34" s="118">
        <f>numberto22(SumNumbers(CONCATENATE(DOB_Day2,DOB_Month2,YEAR(SolarDate($K$3,AN34)))))</f>
        <v>1</v>
      </c>
      <c r="AK34" s="118">
        <f>ABS(numberto22(AJ34+NameArc2*KarmicShadow($C$3,$AC$26,VALUE($T$13))))</f>
        <v>1</v>
      </c>
      <c r="AL34" s="118">
        <f>numberto22((numberto22(DOB_Day2)+numberto22(DOB_Month2)+numberto22(SumNumbers(YEAR(SolarDate($K$3,AN34))))))</f>
        <v>19</v>
      </c>
      <c r="AM34" s="118">
        <f>ABS(numberto22(AL34+NameArc2*KarmicShadow($C$3,$AC$26,VALUE($T$13))))</f>
        <v>17</v>
      </c>
      <c r="AN34" s="113">
        <f>SolarDate($K$3,IF(DATE(Y155,DOB_Month1,DOB_Day1)&gt;DATE(AB33,DOB_Month2,DOB_Day2),DATE(AB33,DOB_Month2,DOB_Day2),DATE(AB33,DOB_Month1,DOB_Day1)))</f>
        <v>43639</v>
      </c>
    </row>
    <row r="35" spans="1:40" ht="18.75" thickBot="1" x14ac:dyDescent="0.4">
      <c r="A35" t="s">
        <v>63</v>
      </c>
      <c r="B35" s="24">
        <f>OPV_1</f>
        <v>1</v>
      </c>
      <c r="C35" s="64" t="str">
        <f t="shared" ref="C35:C40" si="2">IF(B35=CZ_12, "Да", "Нет")</f>
        <v>Нет</v>
      </c>
      <c r="D35" s="65" t="s">
        <v>72</v>
      </c>
      <c r="E35" s="24">
        <f>CZ_12</f>
        <v>22</v>
      </c>
      <c r="F35" s="24"/>
      <c r="G35" t="s">
        <v>64</v>
      </c>
      <c r="H35" s="24">
        <f>OPV_2</f>
        <v>5</v>
      </c>
      <c r="I35" s="64" t="str">
        <f t="shared" ref="I35:I40" si="3">IF(H35=CZ_21, "Да", "Нет")</f>
        <v>Нет</v>
      </c>
      <c r="J35" s="24"/>
      <c r="R35" s="373" t="str">
        <f>Name1</f>
        <v>Павел</v>
      </c>
      <c r="T35" s="391">
        <f>numberto22(S34+U37)</f>
        <v>6</v>
      </c>
      <c r="U35" s="145">
        <f>ABS(numberto22(M_13-M_23))</f>
        <v>5</v>
      </c>
      <c r="V35" s="391">
        <f>numberto22(W34+U37)</f>
        <v>1</v>
      </c>
      <c r="X35" s="148" t="str">
        <f>Name1</f>
        <v>Павел</v>
      </c>
      <c r="AB35" s="804"/>
      <c r="AC35" s="75" t="s">
        <v>223</v>
      </c>
      <c r="AD35" s="125" t="str">
        <f>IF(COUNTIF($S$7:$X$7,AD34)&gt;0, "Да", "Нет")</f>
        <v>Нет</v>
      </c>
      <c r="AE35" s="125" t="str">
        <f>IF(COUNTIF($S$7:$X$7,AE34)&gt;0, "Да", "Нет")</f>
        <v>Нет</v>
      </c>
      <c r="AF35" s="125" t="str">
        <f>IF(COUNTIF($S$7:$X$7,AF34)&gt;0, "Да", "Нет")</f>
        <v>Нет</v>
      </c>
      <c r="AG35" s="125" t="str">
        <f>IF(COUNTIF($S$7:$X$7,AG34)&gt;0, "Да", "Нет")</f>
        <v>Нет</v>
      </c>
      <c r="AH35" s="125" t="str">
        <f>IF(COUNTIF($S$7:$X$7,AH34)&gt;0, "Да 1", "Нет 1")</f>
        <v>Нет 1</v>
      </c>
      <c r="AI35" s="125" t="str">
        <f>IF(COUNTIF($S$7:$X$7,AI34)&gt;0, "Да 1", "Нет 1")</f>
        <v>Нет 1</v>
      </c>
      <c r="AJ35" s="125" t="str">
        <f>IF(COUNTIF($S$13:$X$13,AJ34)&gt;0, "Да", "Нет")</f>
        <v>Нет</v>
      </c>
      <c r="AK35" s="125" t="str">
        <f>IF(COUNTIF($S$13:$X$13,AK34)&gt;0, "Да", "Нет")</f>
        <v>Нет</v>
      </c>
      <c r="AL35" s="125" t="str">
        <f>IF(COUNTIF($S$13:$X$13,AL34)&gt;0, "Да", "Нет")</f>
        <v>Нет</v>
      </c>
      <c r="AM35" s="125" t="str">
        <f>IF(COUNTIF($S$13:$X$13,AM34)&gt;0, "Да", "Нет")</f>
        <v>Да</v>
      </c>
      <c r="AN35" s="104"/>
    </row>
    <row r="36" spans="1:40" ht="18.75" thickBot="1" x14ac:dyDescent="0.4">
      <c r="A36" t="s">
        <v>65</v>
      </c>
      <c r="B36" s="24">
        <f>OPV1_Dop</f>
        <v>0</v>
      </c>
      <c r="C36" s="64" t="str">
        <f t="shared" si="2"/>
        <v>Нет</v>
      </c>
      <c r="D36" s="65" t="s">
        <v>73</v>
      </c>
      <c r="E36" s="24">
        <f>CZ_21</f>
        <v>12</v>
      </c>
      <c r="F36" s="24"/>
      <c r="G36" t="s">
        <v>66</v>
      </c>
      <c r="H36" s="24">
        <f>OPV2_Dop</f>
        <v>0</v>
      </c>
      <c r="I36" s="64" t="str">
        <f t="shared" si="3"/>
        <v>Нет</v>
      </c>
      <c r="J36" s="24"/>
      <c r="L36" s="378" t="s">
        <v>717</v>
      </c>
      <c r="N36" s="378" t="s">
        <v>718</v>
      </c>
      <c r="P36" s="378" t="s">
        <v>719</v>
      </c>
      <c r="R36" s="137">
        <f>DayTaro1</f>
        <v>10</v>
      </c>
      <c r="U36" s="374" t="s">
        <v>706</v>
      </c>
      <c r="X36" s="149">
        <f>YearTaro1</f>
        <v>19</v>
      </c>
      <c r="AB36" s="804"/>
      <c r="AC36" s="287">
        <f>IF(DATE(AB33,DOB_Month1,DOB_Day1)&lt;DATE(AB33,DOB_Month2,DOB_Day2),DATE(AB33,DOB_Month2,DOB_Day2),DATE(AB33,DOB_Month1,DOB_Day1))</f>
        <v>43779</v>
      </c>
      <c r="AD36" s="65"/>
      <c r="AE36" s="65"/>
      <c r="AF36" s="65"/>
      <c r="AG36" s="65"/>
      <c r="AH36" s="125" t="str">
        <f>IF(COUNTIF($S$13:$X$13,AH34)&gt;0, "Да 2", "Нет 2")</f>
        <v>Нет 2</v>
      </c>
      <c r="AI36" s="125" t="str">
        <f>IF(COUNTIF($S$13:$X$13,AI34)&gt;0, "Да 2", "Нет 2")</f>
        <v>Нет 2</v>
      </c>
      <c r="AJ36" s="65"/>
      <c r="AK36" s="65"/>
      <c r="AL36" s="65"/>
      <c r="AM36" s="65"/>
      <c r="AN36" s="104"/>
    </row>
    <row r="37" spans="1:40" ht="18.75" thickBot="1" x14ac:dyDescent="0.4">
      <c r="A37" t="s">
        <v>92</v>
      </c>
      <c r="B37" s="24">
        <f>$U$7</f>
        <v>9</v>
      </c>
      <c r="C37" s="64" t="str">
        <f t="shared" si="2"/>
        <v>Нет</v>
      </c>
      <c r="D37" s="65"/>
      <c r="E37" s="24"/>
      <c r="F37" s="24"/>
      <c r="G37" t="s">
        <v>93</v>
      </c>
      <c r="H37" s="24">
        <f>$U$13</f>
        <v>22</v>
      </c>
      <c r="I37" s="64" t="str">
        <f t="shared" si="3"/>
        <v>Нет</v>
      </c>
      <c r="J37" s="24"/>
      <c r="L37" s="381">
        <f>MKist1</f>
        <v>49</v>
      </c>
      <c r="N37" s="379">
        <f>ABS(NumberTo52(L37-P37))</f>
        <v>2</v>
      </c>
      <c r="P37" s="381">
        <f>MKist2</f>
        <v>47</v>
      </c>
      <c r="R37" s="797" t="s">
        <v>711</v>
      </c>
      <c r="S37" s="377">
        <f>numberto22(R36+T39)</f>
        <v>21</v>
      </c>
      <c r="U37" s="141">
        <f>numberto22(S34+W34)</f>
        <v>17</v>
      </c>
      <c r="W37" s="392">
        <f>numberto22(X36+V39)</f>
        <v>17</v>
      </c>
      <c r="X37" s="801" t="s">
        <v>710</v>
      </c>
      <c r="AB37" s="804"/>
      <c r="AC37" s="112">
        <f>DATE(AB33,12,31)</f>
        <v>43830</v>
      </c>
      <c r="AD37" s="119">
        <f>numberto22(SumNumbers(CONCATENATE(DOB_Day1,DOB_Month1,YEAR(SolarDate($C$3,AC37)))))</f>
        <v>15</v>
      </c>
      <c r="AE37" s="123">
        <f>ABS(numberto22(AD37+NameArc1*KarmicShadow($C$3,AC36,VALUE($T$7))))</f>
        <v>15</v>
      </c>
      <c r="AF37" s="119">
        <f>numberto22((numberto22(DOB_Day1)+numberto22(DOB_Month1)+numberto22(SumNumbers(YEAR(SolarDate($C$3,AC37))))))</f>
        <v>11</v>
      </c>
      <c r="AG37" s="123">
        <f>ABS(numberto22(AF37+NameArc1*KarmicShadow($C$3,AC36,VALUE($T$7))))</f>
        <v>11</v>
      </c>
      <c r="AH37" s="116">
        <f>numberto22(AD37+AJ37)</f>
        <v>16</v>
      </c>
      <c r="AI37" s="114">
        <f>numberto22(AF37+AL37)</f>
        <v>8</v>
      </c>
      <c r="AJ37" s="118">
        <f>numberto22(SumNumbers(CONCATENATE(DOB_Day2,DOB_Month2,YEAR(SolarDate($K$3,AN37)))))</f>
        <v>1</v>
      </c>
      <c r="AK37" s="118">
        <f>ABS(numberto22(AJ37+NameArc2*KarmicShadow($C$3,$AC$29,VALUE($T$13))))</f>
        <v>1</v>
      </c>
      <c r="AL37" s="118">
        <f>numberto22((numberto22(DOB_Day2)+numberto22(DOB_Month2)+numberto22(SumNumbers(YEAR(SolarDate($K$3,AN37))))))</f>
        <v>19</v>
      </c>
      <c r="AM37" s="118">
        <f>ABS(numberto22(AL37+NameArc2*KarmicShadow($C$3,$AC$29,VALUE($T$13))))</f>
        <v>17</v>
      </c>
      <c r="AN37" s="113">
        <f>DATE(AB33,12,31)</f>
        <v>43830</v>
      </c>
    </row>
    <row r="38" spans="1:40" ht="18" x14ac:dyDescent="0.35">
      <c r="A38" t="s">
        <v>94</v>
      </c>
      <c r="B38" s="24">
        <f>$V$7</f>
        <v>8</v>
      </c>
      <c r="C38" s="64" t="str">
        <f t="shared" si="2"/>
        <v>Нет</v>
      </c>
      <c r="D38" s="65"/>
      <c r="E38" s="24"/>
      <c r="F38" s="24"/>
      <c r="G38" t="s">
        <v>95</v>
      </c>
      <c r="H38" s="24">
        <f>$V$13</f>
        <v>17</v>
      </c>
      <c r="I38" s="64" t="str">
        <f t="shared" si="3"/>
        <v>Нет</v>
      </c>
      <c r="J38" s="24"/>
      <c r="R38" s="798"/>
      <c r="S38" s="380" t="s">
        <v>708</v>
      </c>
      <c r="T38" s="375" t="s">
        <v>204</v>
      </c>
      <c r="V38" s="383" t="s">
        <v>707</v>
      </c>
      <c r="W38" s="380" t="s">
        <v>708</v>
      </c>
      <c r="X38" s="802"/>
      <c r="AB38" s="804"/>
      <c r="AC38" s="75" t="s">
        <v>223</v>
      </c>
      <c r="AD38" s="125" t="str">
        <f>IF(COUNTIF($S$7:$X$7,AD37)&gt;0, "Да", "Нет")</f>
        <v>Нет</v>
      </c>
      <c r="AE38" s="125" t="str">
        <f>IF(COUNTIF($S$7:$X$7,AE37)&gt;0, "Да", "Нет")</f>
        <v>Нет</v>
      </c>
      <c r="AF38" s="125" t="str">
        <f>IF(COUNTIF($S$7:$X$7,AF37)&gt;0, "Да", "Нет")</f>
        <v>Нет</v>
      </c>
      <c r="AG38" s="125" t="str">
        <f>IF(COUNTIF($S$7:$X$7,AG37)&gt;0, "Да", "Нет")</f>
        <v>Нет</v>
      </c>
      <c r="AH38" s="125" t="str">
        <f>IF(COUNTIF($S$7:$X$7,AH37)&gt;0, "Да 1", "Нет 1")</f>
        <v>Нет 1</v>
      </c>
      <c r="AI38" s="125" t="str">
        <f>IF(COUNTIF($S$7:$X$7,AI37)&gt;0, "Да 1", "Нет 1")</f>
        <v>Да 1</v>
      </c>
      <c r="AJ38" s="125" t="str">
        <f>IF(COUNTIF($S$13:$X$13,AJ37)&gt;0, "Да", "Нет")</f>
        <v>Нет</v>
      </c>
      <c r="AK38" s="125" t="str">
        <f>IF(COUNTIF($S$13:$X$13,AK37)&gt;0, "Да", "Нет")</f>
        <v>Нет</v>
      </c>
      <c r="AL38" s="125" t="str">
        <f>IF(COUNTIF($S$13:$X$13,AL37)&gt;0, "Да", "Нет")</f>
        <v>Нет</v>
      </c>
      <c r="AM38" s="125" t="str">
        <f>IF(COUNTIF($S$13:$X$13,AM37)&gt;0, "Да", "Нет")</f>
        <v>Да</v>
      </c>
      <c r="AN38" s="104"/>
    </row>
    <row r="39" spans="1:40" ht="18.75" thickBot="1" x14ac:dyDescent="0.4">
      <c r="A39" t="s">
        <v>96</v>
      </c>
      <c r="B39" s="24">
        <f>$W$7</f>
        <v>8</v>
      </c>
      <c r="C39" s="64" t="str">
        <f t="shared" si="2"/>
        <v>Нет</v>
      </c>
      <c r="D39" s="65"/>
      <c r="E39" s="24"/>
      <c r="F39" s="24"/>
      <c r="G39" t="s">
        <v>97</v>
      </c>
      <c r="H39" s="24">
        <f>$W$13</f>
        <v>5</v>
      </c>
      <c r="I39" s="64" t="str">
        <f t="shared" si="3"/>
        <v>Нет</v>
      </c>
      <c r="J39" s="24"/>
      <c r="R39" s="798"/>
      <c r="S39" s="145">
        <f>ABS(numberto22(D_13-D_23))</f>
        <v>9</v>
      </c>
      <c r="T39" s="376">
        <f>numberto22(R36+R42)</f>
        <v>11</v>
      </c>
      <c r="V39" s="384">
        <f>numberto22(X36+X41)</f>
        <v>20</v>
      </c>
      <c r="W39" s="382">
        <f>ABS(numberto22(Y_13-Y_23))</f>
        <v>4</v>
      </c>
      <c r="X39" s="802"/>
      <c r="AB39" s="804"/>
      <c r="AC39" s="288">
        <f>AC37</f>
        <v>43830</v>
      </c>
      <c r="AD39" s="79"/>
      <c r="AE39" s="79"/>
      <c r="AF39" s="79"/>
      <c r="AG39" s="79"/>
      <c r="AH39" s="289" t="str">
        <f>IF(COUNTIF($S$13:$X$13,AH37)&gt;0, "Да 2", "Нет 2")</f>
        <v>Нет 2</v>
      </c>
      <c r="AI39" s="289" t="str">
        <f>IF(COUNTIF($S$13:$X$13,AI37)&gt;0, "Да 2", "Нет 2")</f>
        <v>Нет 2</v>
      </c>
      <c r="AJ39" s="79"/>
      <c r="AK39" s="79"/>
      <c r="AL39" s="79"/>
      <c r="AM39" s="79"/>
      <c r="AN39" s="235"/>
    </row>
    <row r="40" spans="1:40" ht="18.75" thickBot="1" x14ac:dyDescent="0.4">
      <c r="A40" s="65" t="s">
        <v>220</v>
      </c>
      <c r="B40" s="65">
        <f>$X$7</f>
        <v>4</v>
      </c>
      <c r="C40" s="64" t="str">
        <f t="shared" si="2"/>
        <v>Нет</v>
      </c>
      <c r="G40" s="65" t="s">
        <v>221</v>
      </c>
      <c r="H40" s="65">
        <f>$X$13</f>
        <v>5</v>
      </c>
      <c r="I40" s="64" t="str">
        <f t="shared" si="3"/>
        <v>Нет</v>
      </c>
      <c r="R40" s="799"/>
      <c r="S40" s="139">
        <f>numberto22(R42+T39)</f>
        <v>12</v>
      </c>
      <c r="U40" s="126" t="s">
        <v>245</v>
      </c>
      <c r="W40" s="147">
        <f>numberto22(X41+V39)</f>
        <v>21</v>
      </c>
      <c r="X40" s="802"/>
      <c r="AB40" s="803">
        <f>AB33+1</f>
        <v>2020</v>
      </c>
      <c r="AC40" s="287">
        <f>IF(DATE(AB40,DOB_Month1,DOB_Day1)&gt;DATE(AB40,DOB_Month2,DOB_Day2),DATE(AB40,DOB_Month2,DOB_Day2),DATE(AB40,DOB_Month1,DOB_Day1))</f>
        <v>44005</v>
      </c>
      <c r="AD40" s="65"/>
      <c r="AE40" s="65"/>
      <c r="AF40" s="65"/>
      <c r="AG40" s="65"/>
      <c r="AH40" s="125"/>
      <c r="AI40" s="125"/>
      <c r="AJ40" s="65"/>
      <c r="AK40" s="65"/>
      <c r="AL40" s="65"/>
      <c r="AM40" s="65"/>
      <c r="AN40" s="104"/>
    </row>
    <row r="41" spans="1:40" ht="15.75" thickBot="1" x14ac:dyDescent="0.3">
      <c r="A41" s="66" t="s">
        <v>102</v>
      </c>
      <c r="R41" s="136" t="str">
        <f>Name2</f>
        <v>Олеся</v>
      </c>
      <c r="U41" s="385">
        <f>numberto22(S44+W44)</f>
        <v>4</v>
      </c>
      <c r="X41" s="148">
        <f>YearTaro2</f>
        <v>1</v>
      </c>
      <c r="AB41" s="804"/>
      <c r="AC41" s="112">
        <f>SolarDate($C$3,IF(DATE(AB40,DOB_Month1,DOB_Day1)&gt;DATE(AB40,DOB_Month2,DOB_Day2),DATE(AB40,DOB_Month2,DOB_Day2),DATE(AB40,DOB_Month1,DOB_Day1)))</f>
        <v>43779</v>
      </c>
      <c r="AD41" s="119">
        <f>numberto22(SumNumbers(CONCATENATE(DOB_Day1,DOB_Month1,YEAR(SolarDate($C$3,AC41)))))</f>
        <v>15</v>
      </c>
      <c r="AE41" s="123">
        <f>ABS(numberto22(AD41+NameArc1*KarmicShadow($C$3,AC40,VALUE($T$7))))</f>
        <v>7</v>
      </c>
      <c r="AF41" s="119">
        <f>numberto22((numberto22(DOB_Day1)+numberto22(DOB_Month1)+numberto22(SumNumbers(YEAR(SolarDate($C$3,AC41))))))</f>
        <v>11</v>
      </c>
      <c r="AG41" s="123">
        <f>ABS(numberto22(AF41+NameArc1*KarmicShadow($C$3,AC40,VALUE($T$7))))</f>
        <v>11</v>
      </c>
      <c r="AH41" s="117">
        <f>numberto22(AD41+AJ41)</f>
        <v>8</v>
      </c>
      <c r="AI41" s="115">
        <f>numberto22(AF41+AL41)</f>
        <v>22</v>
      </c>
      <c r="AJ41" s="118">
        <f>numberto22(SumNumbers(CONCATENATE(DOB_Day2,DOB_Month2,YEAR(SolarDate($K$3,AN41)))))</f>
        <v>15</v>
      </c>
      <c r="AK41" s="118">
        <f>ABS(numberto22(AJ41+NameArc2*KarmicShadow($C$3,$AC$26,VALUE($T$13))))</f>
        <v>13</v>
      </c>
      <c r="AL41" s="118">
        <f>numberto22((numberto22(DOB_Day2)+numberto22(DOB_Month2)+numberto22(SumNumbers(YEAR(SolarDate($K$3,AN41))))))</f>
        <v>11</v>
      </c>
      <c r="AM41" s="118">
        <f>ABS(numberto22(AL41+NameArc2*KarmicShadow($C$3,$AC$26,VALUE($T$13))))</f>
        <v>9</v>
      </c>
      <c r="AN41" s="113">
        <f>SolarDate($K$3,IF(DATE(Y165,DOB_Month1,DOB_Day1)&gt;DATE(AB40,DOB_Month2,DOB_Day2),DATE(AB40,DOB_Month2,DOB_Day2),DATE(AB40,DOB_Month1,DOB_Day1)))</f>
        <v>44005</v>
      </c>
    </row>
    <row r="42" spans="1:40" ht="15.75" thickBot="1" x14ac:dyDescent="0.3">
      <c r="A42" s="66" t="s">
        <v>103</v>
      </c>
      <c r="R42" s="137">
        <f>DayTaro2</f>
        <v>1</v>
      </c>
      <c r="T42" s="386">
        <f>numberto22(S44+U41)</f>
        <v>22</v>
      </c>
      <c r="U42" s="144">
        <f>ABS(numberto22(T42-V42))</f>
        <v>10</v>
      </c>
      <c r="V42" s="386">
        <f>numberto22(W44+U41)</f>
        <v>12</v>
      </c>
      <c r="X42" s="149" t="str">
        <f>Name2</f>
        <v>Олеся</v>
      </c>
      <c r="AB42" s="804"/>
      <c r="AC42" s="75" t="s">
        <v>223</v>
      </c>
      <c r="AD42" s="125" t="str">
        <f>IF(COUNTIF($S$7:$X$7,AD41)&gt;0, "Да", "Нет")</f>
        <v>Нет</v>
      </c>
      <c r="AE42" s="125" t="str">
        <f>IF(COUNTIF($S$7:$X$7,AE41)&gt;0, "Да", "Нет")</f>
        <v>Нет</v>
      </c>
      <c r="AF42" s="125" t="str">
        <f>IF(COUNTIF($S$7:$X$7,AF41)&gt;0, "Да", "Нет")</f>
        <v>Нет</v>
      </c>
      <c r="AG42" s="125" t="str">
        <f>IF(COUNTIF($S$7:$X$7,AG41)&gt;0, "Да", "Нет")</f>
        <v>Нет</v>
      </c>
      <c r="AH42" s="125" t="str">
        <f>IF(COUNTIF($S$7:$X$7,AH41)&gt;0, "Да 1", "Нет 1")</f>
        <v>Да 1</v>
      </c>
      <c r="AI42" s="125" t="str">
        <f>IF(COUNTIF($S$7:$X$7,AI41)&gt;0, "Да 1", "Нет 1")</f>
        <v>Нет 1</v>
      </c>
      <c r="AJ42" s="125" t="str">
        <f>IF(COUNTIF($S$13:$X$13,AJ41)&gt;0, "Да", "Нет")</f>
        <v>Нет</v>
      </c>
      <c r="AK42" s="125" t="str">
        <f>IF(COUNTIF($S$13:$X$13,AK41)&gt;0, "Да", "Нет")</f>
        <v>Нет</v>
      </c>
      <c r="AL42" s="125" t="str">
        <f>IF(COUNTIF($S$13:$X$13,AL41)&gt;0, "Да", "Нет")</f>
        <v>Нет</v>
      </c>
      <c r="AM42" s="125" t="str">
        <f>IF(COUNTIF($S$13:$X$13,AM41)&gt;0, "Да", "Нет")</f>
        <v>Нет</v>
      </c>
      <c r="AN42" s="104"/>
    </row>
    <row r="43" spans="1:40" ht="18.75" thickBot="1" x14ac:dyDescent="0.4">
      <c r="A43" t="s">
        <v>63</v>
      </c>
      <c r="B43" s="24">
        <f>$C$12</f>
        <v>1</v>
      </c>
      <c r="C43" s="64" t="str">
        <f t="shared" ref="C43:C48" si="4">IF(B43=CZ_21, "Да", "Нет")</f>
        <v>Нет</v>
      </c>
      <c r="D43" s="65" t="s">
        <v>72</v>
      </c>
      <c r="E43" s="24">
        <f>CZ_12</f>
        <v>22</v>
      </c>
      <c r="G43" t="s">
        <v>64</v>
      </c>
      <c r="H43" s="24">
        <f>$K$12</f>
        <v>5</v>
      </c>
      <c r="I43" s="64" t="str">
        <f t="shared" ref="I43:I48" si="5">IF(H43=CZ_12, "Да", "Нет")</f>
        <v>Нет</v>
      </c>
      <c r="S43" s="130" t="str">
        <f>Name1</f>
        <v>Павел</v>
      </c>
      <c r="U43" s="387" t="s">
        <v>708</v>
      </c>
      <c r="W43" s="130" t="str">
        <f>Name2</f>
        <v>Олеся</v>
      </c>
      <c r="AB43" s="804"/>
      <c r="AC43" s="287">
        <f>IF(DATE(AB40,DOB_Month1,DOB_Day1)&lt;DATE(AB40,DOB_Month2,DOB_Day2),DATE(AB40,DOB_Month2,DOB_Day2),DATE(AB40,DOB_Month1,DOB_Day1))</f>
        <v>44145</v>
      </c>
      <c r="AD43" s="65"/>
      <c r="AE43" s="65"/>
      <c r="AF43" s="65"/>
      <c r="AG43" s="65"/>
      <c r="AH43" s="125" t="str">
        <f>IF(COUNTIF($S$13:$X$13,AH41)&gt;0, "Да 2", "Нет 2")</f>
        <v>Нет 2</v>
      </c>
      <c r="AI43" s="125" t="str">
        <f>IF(COUNTIF($S$13:$X$13,AI41)&gt;0, "Да 2", "Нет 2")</f>
        <v>Да 2</v>
      </c>
      <c r="AJ43" s="65"/>
      <c r="AK43" s="65"/>
      <c r="AL43" s="65"/>
      <c r="AM43" s="65"/>
      <c r="AN43" s="104"/>
    </row>
    <row r="44" spans="1:40" ht="18.75" thickBot="1" x14ac:dyDescent="0.4">
      <c r="A44" t="s">
        <v>65</v>
      </c>
      <c r="B44" s="24">
        <f>$C$13</f>
        <v>0</v>
      </c>
      <c r="C44" s="64" t="str">
        <f t="shared" si="4"/>
        <v>Нет</v>
      </c>
      <c r="D44" s="65" t="s">
        <v>73</v>
      </c>
      <c r="E44" s="24">
        <f>CZ_21</f>
        <v>12</v>
      </c>
      <c r="G44" t="s">
        <v>66</v>
      </c>
      <c r="H44" s="24">
        <f>$K$13</f>
        <v>0</v>
      </c>
      <c r="I44" s="64" t="str">
        <f t="shared" si="5"/>
        <v>Нет</v>
      </c>
      <c r="S44" s="131">
        <f>numberto22(DayTaro1+MonthTaro1+YearTaro1)</f>
        <v>18</v>
      </c>
      <c r="T44" s="791" t="s">
        <v>712</v>
      </c>
      <c r="U44" s="800"/>
      <c r="V44" s="792"/>
      <c r="W44" s="131">
        <f>numberto22(DayTaro2+MonthTaro2+YearTaro2)</f>
        <v>8</v>
      </c>
      <c r="AB44" s="804"/>
      <c r="AC44" s="112">
        <f>DATE(AB40,12,31)</f>
        <v>44196</v>
      </c>
      <c r="AD44" s="119">
        <f>numberto22(SumNumbers(CONCATENATE(DOB_Day1,DOB_Month1,YEAR(SolarDate($C$3,AC44)))))</f>
        <v>7</v>
      </c>
      <c r="AE44" s="123">
        <f>ABS(numberto22(AD44+NameArc1*KarmicShadow($C$3,AC43,VALUE($T$7))))</f>
        <v>15</v>
      </c>
      <c r="AF44" s="119">
        <f>numberto22((numberto22(DOB_Day1)+numberto22(DOB_Month1)+numberto22(SumNumbers(YEAR(SolarDate($C$3,AC44))))))</f>
        <v>3</v>
      </c>
      <c r="AG44" s="123">
        <f>ABS(numberto22(AF44+NameArc1*KarmicShadow($C$3,AC43,VALUE($T$7))))</f>
        <v>19</v>
      </c>
      <c r="AH44" s="116">
        <f>numberto22(AD44+AJ44)</f>
        <v>22</v>
      </c>
      <c r="AI44" s="114">
        <f>numberto22(AF44+AL44)</f>
        <v>14</v>
      </c>
      <c r="AJ44" s="118">
        <f>numberto22(SumNumbers(CONCATENATE(DOB_Day2,DOB_Month2,YEAR(SolarDate($K$3,AN44)))))</f>
        <v>15</v>
      </c>
      <c r="AK44" s="118">
        <f>ABS(numberto22(AJ44+NameArc2*KarmicShadow($C$3,$AC$29,VALUE($T$13))))</f>
        <v>13</v>
      </c>
      <c r="AL44" s="118">
        <f>numberto22((numberto22(DOB_Day2)+numberto22(DOB_Month2)+numberto22(SumNumbers(YEAR(SolarDate($K$3,AN44))))))</f>
        <v>11</v>
      </c>
      <c r="AM44" s="118">
        <f>ABS(numberto22(AL44+NameArc2*KarmicShadow($C$3,$AC$29,VALUE($T$13))))</f>
        <v>9</v>
      </c>
      <c r="AN44" s="113">
        <f>DATE(AB40,12,31)</f>
        <v>44196</v>
      </c>
    </row>
    <row r="45" spans="1:40" ht="18" x14ac:dyDescent="0.35">
      <c r="A45" t="s">
        <v>92</v>
      </c>
      <c r="B45" s="24">
        <f>$U$7</f>
        <v>9</v>
      </c>
      <c r="C45" s="64" t="str">
        <f t="shared" si="4"/>
        <v>Нет</v>
      </c>
      <c r="D45" s="65"/>
      <c r="E45" s="24"/>
      <c r="G45" t="s">
        <v>93</v>
      </c>
      <c r="H45" s="24">
        <f>$U$13</f>
        <v>22</v>
      </c>
      <c r="I45" s="64" t="str">
        <f t="shared" si="5"/>
        <v>Да</v>
      </c>
      <c r="R45" s="66" t="s">
        <v>648</v>
      </c>
      <c r="U45" s="88" t="str">
        <f>CountChildren(T48,T49,T50,T56,T57,T58,T64,T65,T66,T72,T73,T74)</f>
        <v>8</v>
      </c>
      <c r="AB45" s="804"/>
      <c r="AC45" s="75" t="s">
        <v>223</v>
      </c>
      <c r="AD45" s="125" t="str">
        <f>IF(COUNTIF($S$7:$X$7,AD44)&gt;0, "Да", "Нет")</f>
        <v>Нет</v>
      </c>
      <c r="AE45" s="125" t="str">
        <f>IF(COUNTIF($S$7:$X$7,AE44)&gt;0, "Да", "Нет")</f>
        <v>Нет</v>
      </c>
      <c r="AF45" s="125" t="str">
        <f>IF(COUNTIF($S$7:$X$7,AF44)&gt;0, "Да", "Нет")</f>
        <v>Нет</v>
      </c>
      <c r="AG45" s="125" t="str">
        <f>IF(COUNTIF($S$7:$X$7,AG44)&gt;0, "Да", "Нет")</f>
        <v>Нет</v>
      </c>
      <c r="AH45" s="125" t="str">
        <f>IF(COUNTIF($S$7:$X$7,AH44)&gt;0, "Да 1", "Нет 1")</f>
        <v>Нет 1</v>
      </c>
      <c r="AI45" s="125" t="str">
        <f>IF(COUNTIF($S$7:$X$7,AI44)&gt;0, "Да 1", "Нет 1")</f>
        <v>Нет 1</v>
      </c>
      <c r="AJ45" s="125" t="str">
        <f>IF(COUNTIF($S$13:$X$13,AJ44)&gt;0, "Да", "Нет")</f>
        <v>Нет</v>
      </c>
      <c r="AK45" s="125" t="str">
        <f>IF(COUNTIF($S$13:$X$13,AK44)&gt;0, "Да", "Нет")</f>
        <v>Нет</v>
      </c>
      <c r="AL45" s="125" t="str">
        <f>IF(COUNTIF($S$13:$X$13,AL44)&gt;0, "Да", "Нет")</f>
        <v>Нет</v>
      </c>
      <c r="AM45" s="125" t="str">
        <f>IF(COUNTIF($S$13:$X$13,AM44)&gt;0, "Да", "Нет")</f>
        <v>Нет</v>
      </c>
      <c r="AN45" s="104"/>
    </row>
    <row r="46" spans="1:40" ht="18.75" thickBot="1" x14ac:dyDescent="0.4">
      <c r="A46" t="s">
        <v>94</v>
      </c>
      <c r="B46" s="24">
        <f>$V$7</f>
        <v>8</v>
      </c>
      <c r="C46" s="64" t="str">
        <f t="shared" si="4"/>
        <v>Нет</v>
      </c>
      <c r="D46" s="65"/>
      <c r="E46" s="24"/>
      <c r="G46" t="s">
        <v>95</v>
      </c>
      <c r="H46" s="24">
        <f>$V$13</f>
        <v>17</v>
      </c>
      <c r="I46" s="64" t="str">
        <f t="shared" si="5"/>
        <v>Нет</v>
      </c>
      <c r="AB46" s="805"/>
      <c r="AC46" s="288">
        <f>AC44</f>
        <v>44196</v>
      </c>
      <c r="AD46" s="79"/>
      <c r="AE46" s="79"/>
      <c r="AF46" s="79"/>
      <c r="AG46" s="79"/>
      <c r="AH46" s="289" t="str">
        <f>IF(COUNTIF($S$13:$X$13,AH44)&gt;0, "Да 2", "Нет 2")</f>
        <v>Да 2</v>
      </c>
      <c r="AI46" s="289" t="str">
        <f>IF(COUNTIF($S$13:$X$13,AI44)&gt;0, "Да 2", "Нет 2")</f>
        <v>Нет 2</v>
      </c>
      <c r="AJ46" s="79"/>
      <c r="AK46" s="79"/>
      <c r="AL46" s="79"/>
      <c r="AM46" s="79"/>
      <c r="AN46" s="235"/>
    </row>
    <row r="47" spans="1:40" ht="18.75" thickBot="1" x14ac:dyDescent="0.4">
      <c r="A47" t="s">
        <v>96</v>
      </c>
      <c r="B47" s="24">
        <f>$W$7</f>
        <v>8</v>
      </c>
      <c r="C47" s="64" t="str">
        <f t="shared" si="4"/>
        <v>Нет</v>
      </c>
      <c r="D47" s="65"/>
      <c r="E47" s="24"/>
      <c r="G47" t="s">
        <v>97</v>
      </c>
      <c r="H47" s="24">
        <f>$W$13</f>
        <v>5</v>
      </c>
      <c r="I47" s="64" t="str">
        <f t="shared" si="5"/>
        <v>Нет</v>
      </c>
      <c r="P47" s="66" t="s">
        <v>356</v>
      </c>
      <c r="AB47" s="803">
        <f>AB40+1</f>
        <v>2021</v>
      </c>
      <c r="AC47" s="287">
        <f>IF(DATE(AB47,DOB_Month1,DOB_Day1)&gt;DATE(AB47,DOB_Month2,DOB_Day2),DATE(AB47,DOB_Month2,DOB_Day2),DATE(AB47,DOB_Month1,DOB_Day1))</f>
        <v>44370</v>
      </c>
      <c r="AD47" s="65"/>
      <c r="AE47" s="65"/>
      <c r="AF47" s="65"/>
      <c r="AG47" s="65"/>
      <c r="AH47" s="125"/>
      <c r="AI47" s="125"/>
      <c r="AJ47" s="65"/>
      <c r="AK47" s="65"/>
      <c r="AL47" s="65"/>
      <c r="AM47" s="65"/>
      <c r="AN47" s="104"/>
    </row>
    <row r="48" spans="1:40" ht="18.75" thickBot="1" x14ac:dyDescent="0.4">
      <c r="A48" s="65" t="s">
        <v>220</v>
      </c>
      <c r="B48" s="65">
        <f>$X$7</f>
        <v>4</v>
      </c>
      <c r="C48" s="64" t="str">
        <f t="shared" si="4"/>
        <v>Нет</v>
      </c>
      <c r="G48" s="65" t="s">
        <v>221</v>
      </c>
      <c r="H48" s="65">
        <f>$X$13</f>
        <v>5</v>
      </c>
      <c r="I48" s="64" t="str">
        <f t="shared" si="5"/>
        <v>Нет</v>
      </c>
      <c r="P48" s="25" t="s">
        <v>63</v>
      </c>
      <c r="Q48" s="69">
        <f>OPV_1</f>
        <v>1</v>
      </c>
      <c r="R48" s="70" t="str">
        <f t="shared" ref="R48:R53" si="6">IF(COUNTIF($T$48:$T$50,Q48)&gt;0, "Да", "Нет")</f>
        <v>Нет</v>
      </c>
      <c r="S48" s="71" t="s">
        <v>81</v>
      </c>
      <c r="T48" s="72">
        <f>D_3</f>
        <v>11</v>
      </c>
      <c r="U48" s="73"/>
      <c r="V48" s="73" t="s">
        <v>64</v>
      </c>
      <c r="W48" s="69">
        <f>OPV_2</f>
        <v>5</v>
      </c>
      <c r="X48" s="74" t="str">
        <f t="shared" ref="X48:X53" si="7">IF(COUNTIF($T$48:$T$50,W48)&gt;0, "Да", "Нет")</f>
        <v>Нет</v>
      </c>
      <c r="AB48" s="804"/>
      <c r="AC48" s="112">
        <f>SolarDate($C$3,IF(DATE(AB47,DOB_Month1,DOB_Day1)&gt;DATE(AB47,DOB_Month2,DOB_Day2),DATE(AB47,DOB_Month2,DOB_Day2),DATE(AB47,DOB_Month1,DOB_Day1)))</f>
        <v>44145</v>
      </c>
      <c r="AD48" s="119">
        <f>numberto22(SumNumbers(CONCATENATE(DOB_Day1,DOB_Month1,YEAR(SolarDate($C$3,AC48)))))</f>
        <v>7</v>
      </c>
      <c r="AE48" s="123">
        <f>ABS(numberto22(AD48+NameArc1*KarmicShadow($C$3,AC47,VALUE($T$7))))</f>
        <v>7</v>
      </c>
      <c r="AF48" s="119">
        <f>numberto22((numberto22(DOB_Day1)+numberto22(DOB_Month1)+numberto22(SumNumbers(YEAR(SolarDate($C$3,AC48))))))</f>
        <v>3</v>
      </c>
      <c r="AG48" s="123">
        <f>ABS(numberto22(AF48+NameArc1*KarmicShadow($C$3,AC47,VALUE($T$7))))</f>
        <v>3</v>
      </c>
      <c r="AH48" s="117">
        <f>numberto22(AD48+AJ48)</f>
        <v>1</v>
      </c>
      <c r="AI48" s="115">
        <f>numberto22(AF48+AL48)</f>
        <v>15</v>
      </c>
      <c r="AJ48" s="118">
        <f>numberto22(SumNumbers(CONCATENATE(DOB_Day2,DOB_Month2,YEAR(SolarDate($K$3,AN48)))))</f>
        <v>16</v>
      </c>
      <c r="AK48" s="118">
        <f>ABS(numberto22(AJ48+NameArc2*KarmicShadow($C$3,$AC$26,VALUE($T$13))))</f>
        <v>14</v>
      </c>
      <c r="AL48" s="118">
        <f>numberto22((numberto22(DOB_Day2)+numberto22(DOB_Month2)+numberto22(SumNumbers(YEAR(SolarDate($K$3,AN48))))))</f>
        <v>12</v>
      </c>
      <c r="AM48" s="118">
        <f>ABS(numberto22(AL48+NameArc2*KarmicShadow($C$3,$AC$26,VALUE($T$13))))</f>
        <v>10</v>
      </c>
      <c r="AN48" s="113">
        <f>SolarDate($K$3,IF(DATE(Y175,DOB_Month1,DOB_Day1)&gt;DATE(AB47,DOB_Month2,DOB_Day2),DATE(AB47,DOB_Month2,DOB_Day2),DATE(AB47,DOB_Month1,DOB_Day1)))</f>
        <v>44370</v>
      </c>
    </row>
    <row r="49" spans="1:40" ht="18" x14ac:dyDescent="0.35">
      <c r="A49" s="66" t="s">
        <v>105</v>
      </c>
      <c r="P49" s="75" t="s">
        <v>65</v>
      </c>
      <c r="Q49" s="76">
        <f>OPV1_Dop</f>
        <v>0</v>
      </c>
      <c r="R49" s="77" t="str">
        <f t="shared" si="6"/>
        <v>Нет</v>
      </c>
      <c r="S49" s="67" t="s">
        <v>86</v>
      </c>
      <c r="T49" s="68">
        <f>D_13</f>
        <v>21</v>
      </c>
      <c r="U49" s="65"/>
      <c r="V49" s="65" t="s">
        <v>66</v>
      </c>
      <c r="W49" s="76">
        <f>OPV2_Dop</f>
        <v>0</v>
      </c>
      <c r="X49" s="78" t="str">
        <f t="shared" si="7"/>
        <v>Нет</v>
      </c>
      <c r="AB49" s="804"/>
      <c r="AC49" s="75" t="s">
        <v>223</v>
      </c>
      <c r="AD49" s="125" t="str">
        <f>IF(COUNTIF($S$7:$X$7,AD48)&gt;0, "Да", "Нет")</f>
        <v>Нет</v>
      </c>
      <c r="AE49" s="125" t="str">
        <f>IF(COUNTIF($S$7:$X$7,AE48)&gt;0, "Да", "Нет")</f>
        <v>Нет</v>
      </c>
      <c r="AF49" s="125" t="str">
        <f>IF(COUNTIF($S$7:$X$7,AF48)&gt;0, "Да", "Нет")</f>
        <v>Нет</v>
      </c>
      <c r="AG49" s="125" t="str">
        <f>IF(COUNTIF($S$7:$X$7,AG48)&gt;0, "Да", "Нет")</f>
        <v>Нет</v>
      </c>
      <c r="AH49" s="125" t="str">
        <f>IF(COUNTIF($S$7:$X$7,AH48)&gt;0, "Да 1", "Нет 1")</f>
        <v>Да 1</v>
      </c>
      <c r="AI49" s="125" t="str">
        <f>IF(COUNTIF($S$7:$X$7,AI48)&gt;0, "Да 1", "Нет 1")</f>
        <v>Нет 1</v>
      </c>
      <c r="AJ49" s="125" t="str">
        <f>IF(COUNTIF($S$13:$X$13,AJ48)&gt;0, "Да", "Нет")</f>
        <v>Нет</v>
      </c>
      <c r="AK49" s="125" t="str">
        <f>IF(COUNTIF($S$13:$X$13,AK48)&gt;0, "Да", "Нет")</f>
        <v>Нет</v>
      </c>
      <c r="AL49" s="125" t="str">
        <f>IF(COUNTIF($S$13:$X$13,AL48)&gt;0, "Да", "Нет")</f>
        <v>Нет</v>
      </c>
      <c r="AM49" s="125" t="str">
        <f>IF(COUNTIF($S$13:$X$13,AM48)&gt;0, "Да", "Нет")</f>
        <v>Нет</v>
      </c>
      <c r="AN49" s="104"/>
    </row>
    <row r="50" spans="1:40" ht="18.75" thickBot="1" x14ac:dyDescent="0.4">
      <c r="A50" s="66" t="s">
        <v>106</v>
      </c>
      <c r="P50" s="75" t="s">
        <v>92</v>
      </c>
      <c r="Q50" s="76">
        <f>$U$7</f>
        <v>9</v>
      </c>
      <c r="R50" s="77" t="str">
        <f t="shared" si="6"/>
        <v>Нет</v>
      </c>
      <c r="S50" s="67" t="s">
        <v>87</v>
      </c>
      <c r="T50" s="68">
        <f>D_23</f>
        <v>12</v>
      </c>
      <c r="U50" s="65"/>
      <c r="V50" s="65" t="s">
        <v>93</v>
      </c>
      <c r="W50" s="76">
        <f>$U$13</f>
        <v>22</v>
      </c>
      <c r="X50" s="78" t="str">
        <f t="shared" si="7"/>
        <v>Нет</v>
      </c>
      <c r="AB50" s="804"/>
      <c r="AC50" s="287">
        <f>IF(DATE(AB47,DOB_Month1,DOB_Day1)&lt;DATE(AB47,DOB_Month2,DOB_Day2),DATE(AB47,DOB_Month2,DOB_Day2),DATE(AB47,DOB_Month1,DOB_Day1))</f>
        <v>44510</v>
      </c>
      <c r="AD50" s="65"/>
      <c r="AE50" s="65"/>
      <c r="AF50" s="65"/>
      <c r="AG50" s="65"/>
      <c r="AH50" s="125" t="str">
        <f>IF(COUNTIF($S$13:$X$13,AH48)&gt;0, "Да 2", "Нет 2")</f>
        <v>Нет 2</v>
      </c>
      <c r="AI50" s="125" t="str">
        <f>IF(COUNTIF($S$13:$X$13,AI48)&gt;0, "Да 2", "Нет 2")</f>
        <v>Нет 2</v>
      </c>
      <c r="AJ50" s="65"/>
      <c r="AK50" s="65"/>
      <c r="AL50" s="65"/>
      <c r="AM50" s="65"/>
      <c r="AN50" s="104"/>
    </row>
    <row r="51" spans="1:40" ht="18.75" thickBot="1" x14ac:dyDescent="0.4">
      <c r="P51" s="75" t="s">
        <v>94</v>
      </c>
      <c r="Q51" s="76">
        <f>$V$7</f>
        <v>8</v>
      </c>
      <c r="R51" s="77" t="str">
        <f t="shared" si="6"/>
        <v>Нет</v>
      </c>
      <c r="S51" s="65"/>
      <c r="T51" s="65"/>
      <c r="U51" s="65"/>
      <c r="V51" s="65" t="s">
        <v>95</v>
      </c>
      <c r="W51" s="76">
        <f>$V$13</f>
        <v>17</v>
      </c>
      <c r="X51" s="78" t="str">
        <f t="shared" si="7"/>
        <v>Нет</v>
      </c>
      <c r="AB51" s="804"/>
      <c r="AC51" s="112">
        <f>DATE(AB47,12,31)</f>
        <v>44561</v>
      </c>
      <c r="AD51" s="119">
        <f>numberto22(SumNumbers(CONCATENATE(DOB_Day1,DOB_Month1,YEAR(SolarDate($C$3,AC51)))))</f>
        <v>8</v>
      </c>
      <c r="AE51" s="123">
        <f>ABS(numberto22(AD51+NameArc1*KarmicShadow($C$3,AC50,VALUE($T$7))))</f>
        <v>8</v>
      </c>
      <c r="AF51" s="119">
        <f>numberto22((numberto22(DOB_Day1)+numberto22(DOB_Month1)+numberto22(SumNumbers(YEAR(SolarDate($C$3,AC51))))))</f>
        <v>4</v>
      </c>
      <c r="AG51" s="123">
        <f>ABS(numberto22(AF51+NameArc1*KarmicShadow($C$3,AC50,VALUE($T$7))))</f>
        <v>4</v>
      </c>
      <c r="AH51" s="116">
        <f>numberto22(AD51+AJ51)</f>
        <v>2</v>
      </c>
      <c r="AI51" s="114">
        <f>numberto22(AF51+AL51)</f>
        <v>16</v>
      </c>
      <c r="AJ51" s="118">
        <f>numberto22(SumNumbers(CONCATENATE(DOB_Day2,DOB_Month2,YEAR(SolarDate($K$3,AN51)))))</f>
        <v>16</v>
      </c>
      <c r="AK51" s="118">
        <f>ABS(numberto22(AJ51+NameArc2*KarmicShadow($C$3,$AC$29,VALUE($T$13))))</f>
        <v>14</v>
      </c>
      <c r="AL51" s="118">
        <f>numberto22((numberto22(DOB_Day2)+numberto22(DOB_Month2)+numberto22(SumNumbers(YEAR(SolarDate($K$3,AN51))))))</f>
        <v>12</v>
      </c>
      <c r="AM51" s="118">
        <f>ABS(numberto22(AL51+NameArc2*KarmicShadow($C$3,$AC$29,VALUE($T$13))))</f>
        <v>10</v>
      </c>
      <c r="AN51" s="113">
        <f>DATE(AB47,12,31)</f>
        <v>44561</v>
      </c>
    </row>
    <row r="52" spans="1:40" ht="18" x14ac:dyDescent="0.35">
      <c r="A52" t="s">
        <v>63</v>
      </c>
      <c r="B52" s="24">
        <f>$C$12</f>
        <v>1</v>
      </c>
      <c r="C52" s="64" t="str">
        <f>IF(AND(COUNTIF($E$52:$E$54,B52)&gt;0,COUNTIF($K$52:$K$57,B52) &gt;0), "Да", "Нет")</f>
        <v>Нет</v>
      </c>
      <c r="D52" s="65" t="s">
        <v>80</v>
      </c>
      <c r="E52" s="24">
        <f>CZ_3</f>
        <v>4</v>
      </c>
      <c r="G52" t="s">
        <v>64</v>
      </c>
      <c r="H52" s="24">
        <f>$K$12</f>
        <v>5</v>
      </c>
      <c r="I52" s="64" t="str">
        <f t="shared" ref="I52:I57" si="8">IF(AND(COUNTIF($E$52:$E$54,H52)&gt;0,COUNTIF($K$52:$K$57,H52) &gt;0), "Да", "Нет")</f>
        <v>Нет</v>
      </c>
      <c r="K52" s="24">
        <v>2</v>
      </c>
      <c r="P52" s="75" t="s">
        <v>96</v>
      </c>
      <c r="Q52" s="76">
        <f>$W$7</f>
        <v>8</v>
      </c>
      <c r="R52" s="77" t="str">
        <f t="shared" si="6"/>
        <v>Нет</v>
      </c>
      <c r="S52" s="65"/>
      <c r="T52" s="65"/>
      <c r="U52" s="65"/>
      <c r="V52" s="65" t="s">
        <v>97</v>
      </c>
      <c r="W52" s="76">
        <f>$W$13</f>
        <v>5</v>
      </c>
      <c r="X52" s="78" t="str">
        <f t="shared" si="7"/>
        <v>Нет</v>
      </c>
      <c r="AB52" s="804"/>
      <c r="AC52" s="75" t="s">
        <v>223</v>
      </c>
      <c r="AD52" s="125" t="str">
        <f>IF(COUNTIF($S$7:$X$7,AD51)&gt;0, "Да", "Нет")</f>
        <v>Да</v>
      </c>
      <c r="AE52" s="125" t="str">
        <f>IF(COUNTIF($S$7:$X$7,AE51)&gt;0, "Да", "Нет")</f>
        <v>Да</v>
      </c>
      <c r="AF52" s="125" t="str">
        <f>IF(COUNTIF($S$7:$X$7,AF51)&gt;0, "Да", "Нет")</f>
        <v>Да</v>
      </c>
      <c r="AG52" s="125" t="str">
        <f>IF(COUNTIF($S$7:$X$7,AG51)&gt;0, "Да", "Нет")</f>
        <v>Да</v>
      </c>
      <c r="AH52" s="125" t="str">
        <f>IF(COUNTIF($S$7:$X$7,AH51)&gt;0, "Да 1", "Нет 1")</f>
        <v>Нет 1</v>
      </c>
      <c r="AI52" s="125" t="str">
        <f>IF(COUNTIF($S$7:$X$7,AI51)&gt;0, "Да 1", "Нет 1")</f>
        <v>Нет 1</v>
      </c>
      <c r="AJ52" s="125" t="str">
        <f>IF(COUNTIF($S$13:$X$13,AJ51)&gt;0, "Да", "Нет")</f>
        <v>Нет</v>
      </c>
      <c r="AK52" s="125" t="str">
        <f>IF(COUNTIF($S$13:$X$13,AK51)&gt;0, "Да", "Нет")</f>
        <v>Нет</v>
      </c>
      <c r="AL52" s="125" t="str">
        <f>IF(COUNTIF($S$13:$X$13,AL51)&gt;0, "Да", "Нет")</f>
        <v>Нет</v>
      </c>
      <c r="AM52" s="125" t="str">
        <f>IF(COUNTIF($S$13:$X$13,AM51)&gt;0, "Да", "Нет")</f>
        <v>Нет</v>
      </c>
      <c r="AN52" s="104"/>
    </row>
    <row r="53" spans="1:40" ht="18.75" thickBot="1" x14ac:dyDescent="0.4">
      <c r="A53" t="s">
        <v>65</v>
      </c>
      <c r="B53" s="24">
        <f>$C$13</f>
        <v>0</v>
      </c>
      <c r="C53" s="64" t="str">
        <f>IF(AND(COUNTIF($E$52:$E$54,B53)&gt;0,COUNTIF($K$52:$K$57,B53) &gt;0), "Да", "Нет")</f>
        <v>Нет</v>
      </c>
      <c r="D53" s="65" t="s">
        <v>72</v>
      </c>
      <c r="E53" s="24">
        <f>CZ_12</f>
        <v>22</v>
      </c>
      <c r="G53" t="s">
        <v>66</v>
      </c>
      <c r="H53" s="24">
        <f>$K$13</f>
        <v>0</v>
      </c>
      <c r="I53" s="64" t="str">
        <f t="shared" si="8"/>
        <v>Нет</v>
      </c>
      <c r="K53" s="24">
        <v>3</v>
      </c>
      <c r="P53" s="26" t="s">
        <v>737</v>
      </c>
      <c r="Q53" s="79">
        <f>$X$7</f>
        <v>4</v>
      </c>
      <c r="R53" s="80" t="str">
        <f t="shared" si="6"/>
        <v>Нет</v>
      </c>
      <c r="S53" s="79"/>
      <c r="T53" s="79"/>
      <c r="U53" s="79"/>
      <c r="V53" s="79" t="s">
        <v>221</v>
      </c>
      <c r="W53" s="79">
        <f>$X$13</f>
        <v>5</v>
      </c>
      <c r="X53" s="81" t="str">
        <f t="shared" si="7"/>
        <v>Нет</v>
      </c>
      <c r="AB53" s="805"/>
      <c r="AC53" s="288">
        <f>AC51</f>
        <v>44561</v>
      </c>
      <c r="AD53" s="79"/>
      <c r="AE53" s="79"/>
      <c r="AF53" s="79"/>
      <c r="AG53" s="79"/>
      <c r="AH53" s="289" t="str">
        <f>IF(COUNTIF($S$13:$X$13,AH51)&gt;0, "Да 2", "Нет 2")</f>
        <v>Нет 2</v>
      </c>
      <c r="AI53" s="289" t="str">
        <f>IF(COUNTIF($S$13:$X$13,AI51)&gt;0, "Да 2", "Нет 2")</f>
        <v>Нет 2</v>
      </c>
      <c r="AJ53" s="79"/>
      <c r="AK53" s="79"/>
      <c r="AL53" s="79"/>
      <c r="AM53" s="79"/>
      <c r="AN53" s="235"/>
    </row>
    <row r="54" spans="1:40" ht="18.75" thickBot="1" x14ac:dyDescent="0.4">
      <c r="A54" t="s">
        <v>92</v>
      </c>
      <c r="B54" s="24">
        <f>$U$7</f>
        <v>9</v>
      </c>
      <c r="C54" s="64" t="str">
        <f>IF(AND(COUNTIF($E$52:$E$54,B54)&gt;0,COUNTIF($K$52:$K$57,B54) &gt;0), "Да", "Нет")</f>
        <v>Нет</v>
      </c>
      <c r="D54" s="65" t="s">
        <v>73</v>
      </c>
      <c r="E54" s="24">
        <f>CZ_21</f>
        <v>12</v>
      </c>
      <c r="G54" t="s">
        <v>93</v>
      </c>
      <c r="H54" s="24">
        <f>$U$13</f>
        <v>22</v>
      </c>
      <c r="I54" s="64" t="str">
        <f t="shared" si="8"/>
        <v>Да</v>
      </c>
      <c r="K54" s="24">
        <v>6</v>
      </c>
      <c r="AB54" s="803">
        <f>AB47+1</f>
        <v>2022</v>
      </c>
      <c r="AC54" s="287">
        <f>IF(DATE(AB54,DOB_Month1,DOB_Day1)&gt;DATE(AB54,DOB_Month2,DOB_Day2),DATE(AB54,DOB_Month2,DOB_Day2),DATE(AB54,DOB_Month1,DOB_Day1))</f>
        <v>44735</v>
      </c>
      <c r="AD54" s="65"/>
      <c r="AE54" s="65"/>
      <c r="AF54" s="65"/>
      <c r="AG54" s="65"/>
      <c r="AH54" s="125"/>
      <c r="AI54" s="125"/>
      <c r="AJ54" s="65"/>
      <c r="AK54" s="65"/>
      <c r="AL54" s="65"/>
      <c r="AM54" s="65"/>
      <c r="AN54" s="104"/>
    </row>
    <row r="55" spans="1:40" ht="18.75" thickBot="1" x14ac:dyDescent="0.4">
      <c r="A55" t="s">
        <v>94</v>
      </c>
      <c r="B55" s="24">
        <f>$V$7</f>
        <v>8</v>
      </c>
      <c r="C55" s="64" t="str">
        <f>IF(AND(COUNTIF($E$52:$E$54,B55)&gt;0,COUNTIF($K$52:$K$57,B55) &gt;0), "Да", "Нет")</f>
        <v>Нет</v>
      </c>
      <c r="D55" s="65"/>
      <c r="E55" s="24"/>
      <c r="G55" t="s">
        <v>95</v>
      </c>
      <c r="H55" s="24">
        <f>$V$13</f>
        <v>17</v>
      </c>
      <c r="I55" s="64" t="str">
        <f t="shared" si="8"/>
        <v>Нет</v>
      </c>
      <c r="K55" s="24">
        <v>18</v>
      </c>
      <c r="P55" s="66" t="s">
        <v>104</v>
      </c>
      <c r="AB55" s="804"/>
      <c r="AC55" s="112">
        <f>SolarDate($C$3,IF(DATE(AB54,DOB_Month1,DOB_Day1)&gt;DATE(AB54,DOB_Month2,DOB_Day2),DATE(AB54,DOB_Month2,DOB_Day2),DATE(AB54,DOB_Month1,DOB_Day1)))</f>
        <v>44510</v>
      </c>
      <c r="AD55" s="119">
        <f>numberto22(SumNumbers(CONCATENATE(DOB_Day1,DOB_Month1,YEAR(SolarDate($C$3,AC55)))))</f>
        <v>8</v>
      </c>
      <c r="AE55" s="123">
        <f>ABS(numberto22(AD55+NameArc1*KarmicShadow($C$3,AC54,VALUE($T$7))))</f>
        <v>14</v>
      </c>
      <c r="AF55" s="119">
        <f>numberto22((numberto22(DOB_Day1)+numberto22(DOB_Month1)+numberto22(SumNumbers(YEAR(SolarDate($C$3,AC55))))))</f>
        <v>4</v>
      </c>
      <c r="AG55" s="123">
        <f>ABS(numberto22(AF55+NameArc1*KarmicShadow($C$3,AC54,VALUE($T$7))))</f>
        <v>18</v>
      </c>
      <c r="AH55" s="117">
        <f>numberto22(AD55+AJ55)</f>
        <v>3</v>
      </c>
      <c r="AI55" s="115">
        <f>numberto22(AF55+AL55)</f>
        <v>17</v>
      </c>
      <c r="AJ55" s="118">
        <f>numberto22(SumNumbers(CONCATENATE(DOB_Day2,DOB_Month2,YEAR(SolarDate($K$3,AN55)))))</f>
        <v>17</v>
      </c>
      <c r="AK55" s="118">
        <f>ABS(numberto22(AJ55+NameArc2*KarmicShadow($C$3,$AC$26,VALUE($T$13))))</f>
        <v>15</v>
      </c>
      <c r="AL55" s="118">
        <f>numberto22((numberto22(DOB_Day2)+numberto22(DOB_Month2)+numberto22(SumNumbers(YEAR(SolarDate($K$3,AN55))))))</f>
        <v>13</v>
      </c>
      <c r="AM55" s="118">
        <f>ABS(numberto22(AL55+NameArc2*KarmicShadow($C$3,$AC$26,VALUE($T$13))))</f>
        <v>11</v>
      </c>
      <c r="AN55" s="113">
        <f>SolarDate($K$3,IF(DATE(Y185,DOB_Month1,DOB_Day1)&gt;DATE(AB54,DOB_Month2,DOB_Day2),DATE(AB54,DOB_Month2,DOB_Day2),DATE(AB54,DOB_Month1,DOB_Day1)))</f>
        <v>44735</v>
      </c>
    </row>
    <row r="56" spans="1:40" ht="18" x14ac:dyDescent="0.35">
      <c r="A56" t="s">
        <v>96</v>
      </c>
      <c r="B56" s="24">
        <f>$W$7</f>
        <v>8</v>
      </c>
      <c r="C56" s="64" t="str">
        <f>IF(AND(COUNTIF($E$52:$E$54,B56)&gt;0,COUNTIF($K$52:$K$57,B56) &gt;0), "Да", "Нет")</f>
        <v>Нет</v>
      </c>
      <c r="D56" s="65"/>
      <c r="E56" s="24"/>
      <c r="G56" t="s">
        <v>97</v>
      </c>
      <c r="H56" s="24">
        <f>$W$13</f>
        <v>5</v>
      </c>
      <c r="I56" s="64" t="str">
        <f t="shared" si="8"/>
        <v>Нет</v>
      </c>
      <c r="K56" s="24">
        <v>20</v>
      </c>
      <c r="P56" s="25" t="s">
        <v>63</v>
      </c>
      <c r="Q56" s="69">
        <f>OPV_1</f>
        <v>1</v>
      </c>
      <c r="R56" s="70" t="str">
        <f t="shared" ref="R56:R61" si="9">IF(COUNTIF($T$56:$T$58,Q56)&gt;0, "Да", "Нет")</f>
        <v>Да</v>
      </c>
      <c r="S56" s="71" t="s">
        <v>82</v>
      </c>
      <c r="T56" s="72">
        <f>M_3</f>
        <v>17</v>
      </c>
      <c r="U56" s="73"/>
      <c r="V56" s="73" t="s">
        <v>64</v>
      </c>
      <c r="W56" s="69">
        <f>OPV_2</f>
        <v>5</v>
      </c>
      <c r="X56" s="74" t="str">
        <f t="shared" ref="X56:X61" si="10">IF(COUNTIF($T$56:$T$58,W56)&gt;0, "Да", "Нет")</f>
        <v>Нет</v>
      </c>
      <c r="AB56" s="804"/>
      <c r="AC56" s="75" t="s">
        <v>223</v>
      </c>
      <c r="AD56" s="125" t="str">
        <f>IF(COUNTIF($S$7:$X$7,AD55)&gt;0, "Да", "Нет")</f>
        <v>Да</v>
      </c>
      <c r="AE56" s="125" t="str">
        <f>IF(COUNTIF($S$7:$X$7,AE55)&gt;0, "Да", "Нет")</f>
        <v>Нет</v>
      </c>
      <c r="AF56" s="125" t="str">
        <f>IF(COUNTIF($S$7:$X$7,AF55)&gt;0, "Да", "Нет")</f>
        <v>Да</v>
      </c>
      <c r="AG56" s="125" t="str">
        <f>IF(COUNTIF($S$7:$X$7,AG55)&gt;0, "Да", "Нет")</f>
        <v>Нет</v>
      </c>
      <c r="AH56" s="125" t="str">
        <f>IF(COUNTIF($S$7:$X$7,AH55)&gt;0, "Да 1", "Нет 1")</f>
        <v>Нет 1</v>
      </c>
      <c r="AI56" s="125" t="str">
        <f>IF(COUNTIF($S$7:$X$7,AI55)&gt;0, "Да 1", "Нет 1")</f>
        <v>Нет 1</v>
      </c>
      <c r="AJ56" s="125" t="str">
        <f>IF(COUNTIF($T$13:$X$13,AJ55)&gt;0, "Да", "Нет")</f>
        <v>Да</v>
      </c>
      <c r="AK56" s="125" t="str">
        <f>IF(COUNTIF($T$13:$X$13,AK55)&gt;0, "Да", "Нет")</f>
        <v>Нет</v>
      </c>
      <c r="AL56" s="125" t="str">
        <f>IF(COUNTIF($T$13:$X$13,AL55)&gt;0, "Да", "Нет")</f>
        <v>Нет</v>
      </c>
      <c r="AM56" s="125" t="str">
        <f>IF(COUNTIF($T$13:$X$13,AM55)&gt;0, "Да", "Нет")</f>
        <v>Нет</v>
      </c>
      <c r="AN56" s="104"/>
    </row>
    <row r="57" spans="1:40" ht="18.75" thickBot="1" x14ac:dyDescent="0.4">
      <c r="A57" s="65" t="s">
        <v>220</v>
      </c>
      <c r="B57" s="65">
        <f>$X$7</f>
        <v>4</v>
      </c>
      <c r="D57" s="65"/>
      <c r="E57" s="24"/>
      <c r="G57" s="65" t="s">
        <v>221</v>
      </c>
      <c r="H57" s="65">
        <f>$X$13</f>
        <v>5</v>
      </c>
      <c r="I57" s="64" t="str">
        <f t="shared" si="8"/>
        <v>Нет</v>
      </c>
      <c r="K57" s="24">
        <v>22</v>
      </c>
      <c r="P57" s="75" t="s">
        <v>65</v>
      </c>
      <c r="Q57" s="76">
        <f>OPV1_Dop</f>
        <v>0</v>
      </c>
      <c r="R57" s="77" t="str">
        <f t="shared" si="9"/>
        <v>Нет</v>
      </c>
      <c r="S57" s="67" t="s">
        <v>88</v>
      </c>
      <c r="T57" s="68">
        <f>M_13</f>
        <v>6</v>
      </c>
      <c r="U57" s="65"/>
      <c r="V57" s="65" t="s">
        <v>66</v>
      </c>
      <c r="W57" s="76">
        <f>OPV2_Dop</f>
        <v>0</v>
      </c>
      <c r="X57" s="78" t="str">
        <f t="shared" si="10"/>
        <v>Нет</v>
      </c>
      <c r="AB57" s="804"/>
      <c r="AC57" s="287">
        <f>IF(DATE(AB54,DOB_Month1,DOB_Day1)&lt;DATE(AB54,DOB_Month2,DOB_Day2),DATE(AB54,DOB_Month2,DOB_Day2),DATE(AB54,DOB_Month1,DOB_Day1))</f>
        <v>44875</v>
      </c>
      <c r="AD57" s="65"/>
      <c r="AE57" s="65"/>
      <c r="AF57" s="65"/>
      <c r="AG57" s="65"/>
      <c r="AH57" s="125" t="str">
        <f>IF(COUNTIF($S$13:$X$13,AH55)&gt;0, "Да 2", "Нет 2")</f>
        <v>Нет 2</v>
      </c>
      <c r="AI57" s="125" t="str">
        <f>IF(COUNTIF($S$13:$X$13,AI55)&gt;0, "Да 2", "Нет 2")</f>
        <v>Да 2</v>
      </c>
      <c r="AJ57" s="65"/>
      <c r="AK57" s="65"/>
      <c r="AL57" s="65"/>
      <c r="AM57" s="65"/>
      <c r="AN57" s="104"/>
    </row>
    <row r="58" spans="1:40" ht="18.75" thickBot="1" x14ac:dyDescent="0.4">
      <c r="A58" s="66" t="s">
        <v>108</v>
      </c>
      <c r="P58" s="75" t="s">
        <v>92</v>
      </c>
      <c r="Q58" s="76">
        <f>$U$7</f>
        <v>9</v>
      </c>
      <c r="R58" s="77" t="str">
        <f t="shared" si="9"/>
        <v>Нет</v>
      </c>
      <c r="S58" s="67" t="s">
        <v>89</v>
      </c>
      <c r="T58" s="68">
        <f>M_23</f>
        <v>1</v>
      </c>
      <c r="U58" s="65"/>
      <c r="V58" s="65" t="s">
        <v>93</v>
      </c>
      <c r="W58" s="76">
        <f>$U$13</f>
        <v>22</v>
      </c>
      <c r="X58" s="78" t="str">
        <f t="shared" si="10"/>
        <v>Нет</v>
      </c>
      <c r="AB58" s="804"/>
      <c r="AC58" s="112">
        <f>DATE(AB54,12,31)</f>
        <v>44926</v>
      </c>
      <c r="AD58" s="119">
        <f>numberto22(SumNumbers(CONCATENATE(DOB_Day1,DOB_Month1,YEAR(SolarDate($C$3,AC58)))))</f>
        <v>9</v>
      </c>
      <c r="AE58" s="123">
        <f>ABS(numberto22(AD58+NameArc1*KarmicShadow($C$3,AC57,VALUE($T$7))))</f>
        <v>13</v>
      </c>
      <c r="AF58" s="119">
        <f>numberto22((numberto22(DOB_Day1)+numberto22(DOB_Month1)+numberto22(SumNumbers(YEAR(SolarDate($C$3,AC58))))))</f>
        <v>5</v>
      </c>
      <c r="AG58" s="123">
        <f>ABS(numberto22(AF58+NameArc1*KarmicShadow($C$3,AC57,VALUE($T$7))))</f>
        <v>17</v>
      </c>
      <c r="AH58" s="116">
        <f>numberto22(AD58+AJ58)</f>
        <v>4</v>
      </c>
      <c r="AI58" s="114">
        <f>numberto22(AF58+AL58)</f>
        <v>18</v>
      </c>
      <c r="AJ58" s="118">
        <f>numberto22(SumNumbers(CONCATENATE(DOB_Day2,DOB_Month2,YEAR(SolarDate($K$3,AN58)))))</f>
        <v>17</v>
      </c>
      <c r="AK58" s="118">
        <f>ABS(numberto22(AJ58+NameArc2*KarmicShadow($C$3,$AC$29,VALUE($T$13))))</f>
        <v>15</v>
      </c>
      <c r="AL58" s="118">
        <f>numberto22((numberto22(DOB_Day2)+numberto22(DOB_Month2)+numberto22(SumNumbers(YEAR(SolarDate($K$3,AN58))))))</f>
        <v>13</v>
      </c>
      <c r="AM58" s="118">
        <f>ABS(numberto22(AL58+NameArc2*KarmicShadow($C$3,$AC$29,VALUE($T$13))))</f>
        <v>11</v>
      </c>
      <c r="AN58" s="113">
        <f>DATE(AB54,12,31)</f>
        <v>44926</v>
      </c>
    </row>
    <row r="59" spans="1:40" ht="18" x14ac:dyDescent="0.35">
      <c r="A59" s="65" t="s">
        <v>80</v>
      </c>
      <c r="B59" s="24">
        <f>CZ_3</f>
        <v>4</v>
      </c>
      <c r="C59" s="64" t="str">
        <f>IF(B59=16, "Да", "Нет")</f>
        <v>Нет</v>
      </c>
      <c r="D59" t="s">
        <v>109</v>
      </c>
      <c r="P59" s="75" t="s">
        <v>94</v>
      </c>
      <c r="Q59" s="76">
        <f>$V$7</f>
        <v>8</v>
      </c>
      <c r="R59" s="77" t="str">
        <f t="shared" si="9"/>
        <v>Нет</v>
      </c>
      <c r="S59" s="65"/>
      <c r="T59" s="65"/>
      <c r="U59" s="65"/>
      <c r="V59" s="65" t="s">
        <v>95</v>
      </c>
      <c r="W59" s="76">
        <f>$V$13</f>
        <v>17</v>
      </c>
      <c r="X59" s="78" t="str">
        <f t="shared" si="10"/>
        <v>Да</v>
      </c>
      <c r="AB59" s="804"/>
      <c r="AC59" s="75" t="s">
        <v>223</v>
      </c>
      <c r="AD59" s="125" t="str">
        <f>IF(COUNTIF($S$7:$X$7,AD58)&gt;0, "Да", "Нет")</f>
        <v>Да</v>
      </c>
      <c r="AE59" s="125" t="str">
        <f>IF(COUNTIF($S$7:$X$7,AE58)&gt;0, "Да", "Нет")</f>
        <v>Нет</v>
      </c>
      <c r="AF59" s="125" t="str">
        <f>IF(COUNTIF($S$7:$X$7,AF58)&gt;0, "Да", "Нет")</f>
        <v>Нет</v>
      </c>
      <c r="AG59" s="125" t="str">
        <f>IF(COUNTIF($S$7:$X$7,AG58)&gt;0, "Да", "Нет")</f>
        <v>Нет</v>
      </c>
      <c r="AH59" s="125" t="str">
        <f>IF(COUNTIF($S$7:$X$7,AH58)&gt;0, "Да 1", "Нет 1")</f>
        <v>Да 1</v>
      </c>
      <c r="AI59" s="125" t="str">
        <f>IF(COUNTIF($S$7:$X$7,AI58)&gt;0, "Да 1", "Нет 1")</f>
        <v>Нет 1</v>
      </c>
      <c r="AJ59" s="125" t="str">
        <f>IF(COUNTIF($S$13:$X$13,AJ58)&gt;0, "Да", "Нет")</f>
        <v>Да</v>
      </c>
      <c r="AK59" s="125" t="str">
        <f>IF(COUNTIF($S$13:$X$13,AK58)&gt;0, "Да", "Нет")</f>
        <v>Нет</v>
      </c>
      <c r="AL59" s="125" t="str">
        <f>IF(COUNTIF($S$13:$X$13,AL58)&gt;0, "Да", "Нет")</f>
        <v>Нет</v>
      </c>
      <c r="AM59" s="125" t="str">
        <f>IF(COUNTIF($S$13:$X$13,AM58)&gt;0, "Да", "Нет")</f>
        <v>Нет</v>
      </c>
      <c r="AN59" s="104"/>
    </row>
    <row r="60" spans="1:40" ht="18.75" thickBot="1" x14ac:dyDescent="0.4">
      <c r="A60" s="65" t="s">
        <v>72</v>
      </c>
      <c r="B60" s="24">
        <f>CZ_12</f>
        <v>22</v>
      </c>
      <c r="C60" s="64" t="str">
        <f>IF(B60=16, "Да", "Нет")</f>
        <v>Нет</v>
      </c>
      <c r="P60" s="75" t="s">
        <v>96</v>
      </c>
      <c r="Q60" s="76">
        <f>$W$7</f>
        <v>8</v>
      </c>
      <c r="R60" s="77" t="str">
        <f t="shared" si="9"/>
        <v>Нет</v>
      </c>
      <c r="S60" s="65"/>
      <c r="T60" s="65"/>
      <c r="U60" s="65"/>
      <c r="V60" s="65" t="s">
        <v>97</v>
      </c>
      <c r="W60" s="76">
        <f>$W$13</f>
        <v>5</v>
      </c>
      <c r="X60" s="78" t="str">
        <f t="shared" si="10"/>
        <v>Нет</v>
      </c>
      <c r="AB60" s="805"/>
      <c r="AC60" s="288">
        <f>AC58</f>
        <v>44926</v>
      </c>
      <c r="AD60" s="79"/>
      <c r="AE60" s="79"/>
      <c r="AF60" s="79"/>
      <c r="AG60" s="79"/>
      <c r="AH60" s="289" t="str">
        <f>IF(COUNTIF($S$13:$X$13,AH58)&gt;0, "Да 2", "Нет 2")</f>
        <v>Нет 2</v>
      </c>
      <c r="AI60" s="289" t="str">
        <f>IF(COUNTIF($S$13:$X$13,AI58)&gt;0, "Да 2", "Нет 2")</f>
        <v>Нет 2</v>
      </c>
      <c r="AJ60" s="79"/>
      <c r="AK60" s="79"/>
      <c r="AL60" s="79"/>
      <c r="AM60" s="79"/>
      <c r="AN60" s="235"/>
    </row>
    <row r="61" spans="1:40" ht="18.75" thickBot="1" x14ac:dyDescent="0.4">
      <c r="A61" s="65" t="s">
        <v>73</v>
      </c>
      <c r="B61" s="24">
        <f>CZ_21</f>
        <v>12</v>
      </c>
      <c r="C61" s="64" t="str">
        <f>IF(B61=16, "Да", "Нет")</f>
        <v>Нет</v>
      </c>
      <c r="P61" s="26" t="s">
        <v>220</v>
      </c>
      <c r="Q61" s="79">
        <f>$X$7</f>
        <v>4</v>
      </c>
      <c r="R61" s="80" t="str">
        <f t="shared" si="9"/>
        <v>Нет</v>
      </c>
      <c r="S61" s="79"/>
      <c r="T61" s="79"/>
      <c r="U61" s="79"/>
      <c r="V61" s="79" t="s">
        <v>221</v>
      </c>
      <c r="W61" s="79">
        <f>$X$13</f>
        <v>5</v>
      </c>
      <c r="X61" s="81" t="str">
        <f t="shared" si="10"/>
        <v>Нет</v>
      </c>
      <c r="AN61" s="77"/>
    </row>
    <row r="62" spans="1:40" x14ac:dyDescent="0.25">
      <c r="AN62" s="77"/>
    </row>
    <row r="63" spans="1:40" ht="15.75" thickBot="1" x14ac:dyDescent="0.3">
      <c r="P63" s="66" t="s">
        <v>107</v>
      </c>
      <c r="AN63" s="77"/>
    </row>
    <row r="64" spans="1:40" ht="18" x14ac:dyDescent="0.35">
      <c r="P64" s="25" t="s">
        <v>63</v>
      </c>
      <c r="Q64" s="69">
        <f>OPV_1</f>
        <v>1</v>
      </c>
      <c r="R64" s="70" t="str">
        <f t="shared" ref="R64:R69" si="11">IF(COUNTIF($T$64:$T$66,Q64)&gt;0, "Да", "Нет")</f>
        <v>Нет</v>
      </c>
      <c r="S64" s="71" t="s">
        <v>83</v>
      </c>
      <c r="T64" s="72">
        <f>Y_3</f>
        <v>20</v>
      </c>
      <c r="U64" s="73"/>
      <c r="V64" s="73" t="s">
        <v>64</v>
      </c>
      <c r="W64" s="69">
        <f>OPV_2</f>
        <v>5</v>
      </c>
      <c r="X64" s="74" t="str">
        <f>IF(COUNTIF($T$64:$T$66,W64)&gt;0, "Да", "Нет")</f>
        <v>Нет</v>
      </c>
      <c r="AN64" s="77"/>
    </row>
    <row r="65" spans="1:40" ht="30.75" x14ac:dyDescent="0.45">
      <c r="D65" s="732" t="s">
        <v>0</v>
      </c>
      <c r="E65" s="732"/>
      <c r="F65" s="732"/>
      <c r="G65" s="732"/>
      <c r="H65" s="732"/>
      <c r="I65" s="732"/>
      <c r="J65" s="732"/>
      <c r="K65" s="1" t="s">
        <v>1</v>
      </c>
      <c r="P65" s="75" t="s">
        <v>65</v>
      </c>
      <c r="Q65" s="76">
        <f>OPV1_Dop</f>
        <v>0</v>
      </c>
      <c r="R65" s="77" t="str">
        <f t="shared" si="11"/>
        <v>Нет</v>
      </c>
      <c r="S65" s="356" t="s">
        <v>90</v>
      </c>
      <c r="T65" s="68">
        <f>Y_13</f>
        <v>17</v>
      </c>
      <c r="U65" s="65"/>
      <c r="V65" s="65" t="s">
        <v>66</v>
      </c>
      <c r="W65" s="76">
        <f>OPV2_Dop</f>
        <v>0</v>
      </c>
      <c r="X65" s="78" t="str">
        <f t="shared" ref="X65:X69" si="12">IF(COUNTIF($T$64:$T$66,W65)&gt;0, "Да", "Нет")</f>
        <v>Нет</v>
      </c>
    </row>
    <row r="66" spans="1:40" ht="18" x14ac:dyDescent="0.35">
      <c r="P66" s="75" t="s">
        <v>92</v>
      </c>
      <c r="Q66" s="76">
        <f>$U$7</f>
        <v>9</v>
      </c>
      <c r="R66" s="77" t="str">
        <f t="shared" si="11"/>
        <v>Нет</v>
      </c>
      <c r="S66" s="356" t="s">
        <v>91</v>
      </c>
      <c r="T66" s="68">
        <f>Y_23</f>
        <v>21</v>
      </c>
      <c r="U66" s="65"/>
      <c r="V66" s="65" t="s">
        <v>93</v>
      </c>
      <c r="W66" s="76">
        <f>$U$13</f>
        <v>22</v>
      </c>
      <c r="X66" s="78" t="str">
        <f t="shared" si="12"/>
        <v>Нет</v>
      </c>
    </row>
    <row r="67" spans="1:40" ht="18" x14ac:dyDescent="0.35">
      <c r="P67" s="75" t="s">
        <v>94</v>
      </c>
      <c r="Q67" s="76">
        <f>$V$7</f>
        <v>8</v>
      </c>
      <c r="R67" s="77" t="str">
        <f t="shared" si="11"/>
        <v>Нет</v>
      </c>
      <c r="S67" s="65"/>
      <c r="T67" s="65"/>
      <c r="U67" s="65"/>
      <c r="V67" s="65" t="s">
        <v>95</v>
      </c>
      <c r="W67" s="76">
        <f>$V$13</f>
        <v>17</v>
      </c>
      <c r="X67" s="78" t="str">
        <f t="shared" si="12"/>
        <v>Да</v>
      </c>
      <c r="AN67" s="77"/>
    </row>
    <row r="68" spans="1:40" ht="18" x14ac:dyDescent="0.35">
      <c r="P68" s="75" t="s">
        <v>96</v>
      </c>
      <c r="Q68" s="76">
        <f>$W$7</f>
        <v>8</v>
      </c>
      <c r="R68" s="77" t="str">
        <f t="shared" si="11"/>
        <v>Нет</v>
      </c>
      <c r="S68" s="65"/>
      <c r="T68" s="65"/>
      <c r="U68" s="65"/>
      <c r="V68" s="65" t="s">
        <v>97</v>
      </c>
      <c r="W68" s="76">
        <f>$W$13</f>
        <v>5</v>
      </c>
      <c r="X68" s="78" t="str">
        <f t="shared" si="12"/>
        <v>Нет</v>
      </c>
      <c r="AN68" s="77"/>
    </row>
    <row r="69" spans="1:40" ht="18.75" thickBot="1" x14ac:dyDescent="0.4">
      <c r="E69" s="395" t="str">
        <f>Name1</f>
        <v>Павел</v>
      </c>
      <c r="K69" s="395" t="str">
        <f>Name2</f>
        <v>Олеся</v>
      </c>
      <c r="P69" s="26" t="s">
        <v>220</v>
      </c>
      <c r="Q69" s="79">
        <f>$X$7</f>
        <v>4</v>
      </c>
      <c r="R69" s="80" t="str">
        <f t="shared" si="11"/>
        <v>Нет</v>
      </c>
      <c r="S69" s="79"/>
      <c r="T69" s="79"/>
      <c r="U69" s="79"/>
      <c r="V69" s="79" t="s">
        <v>221</v>
      </c>
      <c r="W69" s="79">
        <f>$X$13</f>
        <v>5</v>
      </c>
      <c r="X69" s="81" t="str">
        <f t="shared" si="12"/>
        <v>Нет</v>
      </c>
      <c r="AN69" s="77"/>
    </row>
    <row r="70" spans="1:40" x14ac:dyDescent="0.25">
      <c r="AN70" s="77"/>
    </row>
    <row r="71" spans="1:40" ht="18.75" thickBot="1" x14ac:dyDescent="0.4">
      <c r="D71" s="28"/>
      <c r="E71" s="29" t="s">
        <v>111</v>
      </c>
      <c r="F71" s="28"/>
      <c r="J71" s="28"/>
      <c r="K71" s="29" t="s">
        <v>10</v>
      </c>
      <c r="L71" s="28"/>
      <c r="P71" s="66" t="s">
        <v>110</v>
      </c>
      <c r="Q71" s="66"/>
      <c r="R71" s="66"/>
      <c r="S71" s="66"/>
      <c r="T71" s="66"/>
      <c r="AN71" s="77"/>
    </row>
    <row r="72" spans="1:40" ht="18.75" thickBot="1" x14ac:dyDescent="0.4">
      <c r="A72" s="24"/>
      <c r="D72" s="30"/>
      <c r="E72" s="31">
        <f>numberto22(ABS(DayTaro1-YearTaro1))</f>
        <v>9</v>
      </c>
      <c r="F72" s="30"/>
      <c r="G72" s="24"/>
      <c r="J72" s="30"/>
      <c r="K72" s="31">
        <f>numberto22(ABS(DayTaro2-YearTaro2))</f>
        <v>22</v>
      </c>
      <c r="L72" s="30"/>
      <c r="M72" s="24"/>
      <c r="P72" s="25" t="s">
        <v>63</v>
      </c>
      <c r="Q72" s="69">
        <f>OPV_1</f>
        <v>1</v>
      </c>
      <c r="R72" s="70" t="str">
        <f t="shared" ref="R72:R77" si="13">IF(COUNTIF($T$72:$T$74,Q72)&gt;0, "Да", "Нет")</f>
        <v>Нет</v>
      </c>
      <c r="S72" s="180" t="s">
        <v>80</v>
      </c>
      <c r="T72" s="72">
        <f>U41</f>
        <v>4</v>
      </c>
      <c r="U72" s="73"/>
      <c r="V72" s="73" t="s">
        <v>64</v>
      </c>
      <c r="W72" s="69">
        <f>OPV_2</f>
        <v>5</v>
      </c>
      <c r="X72" s="74" t="str">
        <f>IF(COUNTIF($T$72:$T$74,W72)&gt;0, "Да", "Нет")</f>
        <v>Нет</v>
      </c>
      <c r="AN72" s="77"/>
    </row>
    <row r="73" spans="1:40" ht="18" x14ac:dyDescent="0.35">
      <c r="A73" s="24"/>
      <c r="D73" s="32" t="s">
        <v>112</v>
      </c>
      <c r="E73" s="33" t="s">
        <v>113</v>
      </c>
      <c r="F73" s="34" t="s">
        <v>114</v>
      </c>
      <c r="G73" s="24"/>
      <c r="J73" s="32" t="s">
        <v>115</v>
      </c>
      <c r="K73" s="33" t="s">
        <v>116</v>
      </c>
      <c r="L73" s="34" t="s">
        <v>117</v>
      </c>
      <c r="M73" s="24"/>
      <c r="P73" s="75" t="s">
        <v>65</v>
      </c>
      <c r="Q73" s="76">
        <f>OPV1_Dop</f>
        <v>0</v>
      </c>
      <c r="R73" s="77" t="str">
        <f t="shared" si="13"/>
        <v>Нет</v>
      </c>
      <c r="S73" s="356" t="s">
        <v>100</v>
      </c>
      <c r="T73" s="68">
        <f>T42</f>
        <v>22</v>
      </c>
      <c r="U73" s="65"/>
      <c r="V73" s="65" t="s">
        <v>66</v>
      </c>
      <c r="W73" s="76">
        <f>OPV2_Dop</f>
        <v>0</v>
      </c>
      <c r="X73" s="78" t="str">
        <f t="shared" ref="X73:X77" si="14">IF(COUNTIF($T$72:$T$74,W73)&gt;0, "Да", "Нет")</f>
        <v>Нет</v>
      </c>
    </row>
    <row r="74" spans="1:40" ht="18" x14ac:dyDescent="0.35">
      <c r="A74" s="24"/>
      <c r="D74" s="35">
        <f>DayTaro1</f>
        <v>10</v>
      </c>
      <c r="E74" s="36">
        <f>MonthTaro1</f>
        <v>11</v>
      </c>
      <c r="F74" s="37">
        <f>YearTaro1</f>
        <v>19</v>
      </c>
      <c r="G74" s="24"/>
      <c r="J74" s="35">
        <f>DayTaro2</f>
        <v>1</v>
      </c>
      <c r="K74" s="36">
        <f>MonthTaro2</f>
        <v>6</v>
      </c>
      <c r="L74" s="37">
        <f>YearTaro2</f>
        <v>1</v>
      </c>
      <c r="M74" s="24"/>
      <c r="P74" s="75" t="s">
        <v>92</v>
      </c>
      <c r="Q74" s="76">
        <f>$U$7</f>
        <v>9</v>
      </c>
      <c r="R74" s="77" t="str">
        <f t="shared" si="13"/>
        <v>Нет</v>
      </c>
      <c r="S74" s="356" t="s">
        <v>101</v>
      </c>
      <c r="T74" s="68">
        <f>V42</f>
        <v>12</v>
      </c>
      <c r="U74" s="65"/>
      <c r="V74" s="65" t="s">
        <v>93</v>
      </c>
      <c r="W74" s="76">
        <f>$U$13</f>
        <v>22</v>
      </c>
      <c r="X74" s="78" t="str">
        <f t="shared" si="14"/>
        <v>Да</v>
      </c>
    </row>
    <row r="75" spans="1:40" ht="18" x14ac:dyDescent="0.35">
      <c r="A75" s="24"/>
      <c r="C75" s="38" t="s">
        <v>118</v>
      </c>
      <c r="D75" s="39" t="s">
        <v>67</v>
      </c>
      <c r="E75" s="40"/>
      <c r="F75" s="41" t="s">
        <v>119</v>
      </c>
      <c r="G75" s="42" t="s">
        <v>120</v>
      </c>
      <c r="I75" s="38" t="s">
        <v>121</v>
      </c>
      <c r="J75" s="39" t="s">
        <v>69</v>
      </c>
      <c r="K75" s="40"/>
      <c r="L75" s="41" t="s">
        <v>122</v>
      </c>
      <c r="M75" s="42" t="s">
        <v>123</v>
      </c>
      <c r="P75" s="75" t="s">
        <v>94</v>
      </c>
      <c r="Q75" s="76">
        <f>$V$7</f>
        <v>8</v>
      </c>
      <c r="R75" s="77" t="str">
        <f t="shared" si="13"/>
        <v>Нет</v>
      </c>
      <c r="S75" s="65"/>
      <c r="T75" s="65"/>
      <c r="U75" s="65"/>
      <c r="V75" s="65" t="s">
        <v>95</v>
      </c>
      <c r="W75" s="76">
        <f>$V$13</f>
        <v>17</v>
      </c>
      <c r="X75" s="78" t="str">
        <f t="shared" si="14"/>
        <v>Нет</v>
      </c>
      <c r="AN75" s="77"/>
    </row>
    <row r="76" spans="1:40" ht="18" x14ac:dyDescent="0.35">
      <c r="A76" s="24"/>
      <c r="C76" s="43">
        <f>numberto22(D78+D74)</f>
        <v>11</v>
      </c>
      <c r="D76" s="35">
        <f>TP_1</f>
        <v>21</v>
      </c>
      <c r="E76" s="44" t="s">
        <v>124</v>
      </c>
      <c r="F76" s="45">
        <f>numberto22(MonthTaro1+YearTaro1)</f>
        <v>8</v>
      </c>
      <c r="G76" s="85">
        <f>numberto22(F78+F74)</f>
        <v>15</v>
      </c>
      <c r="I76" s="43">
        <f>numberto22(J78+J74)</f>
        <v>6</v>
      </c>
      <c r="J76" s="35">
        <f>TP_2</f>
        <v>7</v>
      </c>
      <c r="K76" s="44" t="s">
        <v>125</v>
      </c>
      <c r="L76" s="45">
        <f>numberto22(MonthTaro2+YearTaro2)</f>
        <v>7</v>
      </c>
      <c r="M76" s="85">
        <f>numberto22(L78+L74)</f>
        <v>9</v>
      </c>
      <c r="P76" s="75" t="s">
        <v>96</v>
      </c>
      <c r="Q76" s="76">
        <f>$W$7</f>
        <v>8</v>
      </c>
      <c r="R76" s="77" t="str">
        <f t="shared" si="13"/>
        <v>Нет</v>
      </c>
      <c r="S76" s="65"/>
      <c r="T76" s="65"/>
      <c r="U76" s="65"/>
      <c r="V76" s="65" t="s">
        <v>97</v>
      </c>
      <c r="W76" s="76">
        <f>$W$13</f>
        <v>5</v>
      </c>
      <c r="X76" s="78" t="str">
        <f t="shared" si="14"/>
        <v>Нет</v>
      </c>
      <c r="AN76" s="77"/>
    </row>
    <row r="77" spans="1:40" ht="18.75" thickBot="1" x14ac:dyDescent="0.4">
      <c r="A77" s="24"/>
      <c r="B77" s="24"/>
      <c r="C77" s="24"/>
      <c r="D77" s="39" t="s">
        <v>63</v>
      </c>
      <c r="E77" s="36">
        <f>numberto22(D76+F76)</f>
        <v>7</v>
      </c>
      <c r="F77" s="41" t="s">
        <v>70</v>
      </c>
      <c r="G77" s="24"/>
      <c r="I77" s="24"/>
      <c r="J77" s="39" t="s">
        <v>64</v>
      </c>
      <c r="K77" s="36">
        <f>numberto22(J76+L76)</f>
        <v>14</v>
      </c>
      <c r="L77" s="41" t="s">
        <v>71</v>
      </c>
      <c r="M77" s="24"/>
      <c r="P77" s="26" t="s">
        <v>220</v>
      </c>
      <c r="Q77" s="79">
        <f>$X$7</f>
        <v>4</v>
      </c>
      <c r="R77" s="80" t="str">
        <f t="shared" si="13"/>
        <v>Да</v>
      </c>
      <c r="S77" s="79"/>
      <c r="T77" s="79"/>
      <c r="U77" s="79"/>
      <c r="V77" s="79" t="s">
        <v>221</v>
      </c>
      <c r="W77" s="79">
        <f>$X$13</f>
        <v>5</v>
      </c>
      <c r="X77" s="81" t="str">
        <f t="shared" si="14"/>
        <v>Нет</v>
      </c>
      <c r="AN77" s="77"/>
    </row>
    <row r="78" spans="1:40" ht="15.75" thickBot="1" x14ac:dyDescent="0.3">
      <c r="A78" s="24"/>
      <c r="B78" s="24"/>
      <c r="C78" s="24"/>
      <c r="D78" s="46">
        <f>OPV_1</f>
        <v>1</v>
      </c>
      <c r="E78" s="47"/>
      <c r="F78" s="48">
        <f>CZ_1</f>
        <v>18</v>
      </c>
      <c r="G78" s="24"/>
      <c r="I78" s="24"/>
      <c r="J78" s="46">
        <f>OPV_2</f>
        <v>5</v>
      </c>
      <c r="K78" s="47"/>
      <c r="L78" s="48">
        <f>CZ_2</f>
        <v>8</v>
      </c>
      <c r="M78" s="24"/>
      <c r="AN78" s="77"/>
    </row>
    <row r="79" spans="1:40" ht="18" x14ac:dyDescent="0.35">
      <c r="A79" s="24"/>
      <c r="B79" s="24"/>
      <c r="C79" s="24"/>
      <c r="D79" s="24"/>
      <c r="E79" s="31" t="s">
        <v>126</v>
      </c>
      <c r="F79" s="24"/>
      <c r="G79" s="49" t="s">
        <v>81</v>
      </c>
      <c r="H79" s="50" t="s">
        <v>82</v>
      </c>
      <c r="I79" s="51" t="s">
        <v>83</v>
      </c>
      <c r="J79" s="24"/>
      <c r="K79" s="31" t="s">
        <v>127</v>
      </c>
      <c r="L79" s="24"/>
      <c r="M79" s="24"/>
      <c r="AN79" s="77"/>
    </row>
    <row r="80" spans="1:40" x14ac:dyDescent="0.25">
      <c r="A80" s="24"/>
      <c r="B80" s="24"/>
      <c r="C80" s="24"/>
      <c r="D80" s="24"/>
      <c r="E80" s="52">
        <f>numberto22(ABS(D78-F78))</f>
        <v>17</v>
      </c>
      <c r="F80" s="24"/>
      <c r="G80" s="53">
        <f>numberto22(D74+J74)</f>
        <v>11</v>
      </c>
      <c r="H80" s="36">
        <f>numberto22(E74+K74)</f>
        <v>17</v>
      </c>
      <c r="I80" s="54">
        <f>numberto22(F74+L74)</f>
        <v>20</v>
      </c>
      <c r="J80" s="24"/>
      <c r="K80" s="52">
        <f>numberto22(ABS(J78-L78))</f>
        <v>3</v>
      </c>
      <c r="L80" s="24"/>
      <c r="M80" s="24"/>
      <c r="AN80" s="77"/>
    </row>
    <row r="81" spans="1:10" ht="18" x14ac:dyDescent="0.35">
      <c r="A81" s="24"/>
      <c r="B81" s="24"/>
      <c r="C81" s="24"/>
      <c r="D81" s="24"/>
      <c r="E81" s="24"/>
      <c r="F81" s="24"/>
      <c r="G81" s="55" t="s">
        <v>68</v>
      </c>
      <c r="H81" s="101"/>
      <c r="I81" s="56" t="s">
        <v>128</v>
      </c>
      <c r="J81" s="24"/>
    </row>
    <row r="82" spans="1:10" ht="18" x14ac:dyDescent="0.35">
      <c r="A82" s="24"/>
      <c r="B82" s="24"/>
      <c r="C82" s="24"/>
      <c r="D82" s="24"/>
      <c r="E82" s="24"/>
      <c r="F82" s="24"/>
      <c r="G82" s="53">
        <f>numberto22(D76+J76)</f>
        <v>6</v>
      </c>
      <c r="H82" s="44" t="s">
        <v>129</v>
      </c>
      <c r="I82" s="54">
        <f>numberto22(F76+L76)</f>
        <v>15</v>
      </c>
      <c r="J82" s="24"/>
    </row>
    <row r="83" spans="1:10" ht="18" x14ac:dyDescent="0.35">
      <c r="A83" s="24"/>
      <c r="B83" s="24"/>
      <c r="C83" s="24"/>
      <c r="D83" s="24"/>
      <c r="E83" s="24"/>
      <c r="F83" s="24"/>
      <c r="G83" s="55" t="s">
        <v>130</v>
      </c>
      <c r="H83" s="36">
        <f>numberto22(G82+I82)</f>
        <v>21</v>
      </c>
      <c r="I83" s="56" t="s">
        <v>80</v>
      </c>
      <c r="J83" s="24"/>
    </row>
    <row r="84" spans="1:10" ht="15.75" thickBot="1" x14ac:dyDescent="0.3">
      <c r="A84" s="24"/>
      <c r="B84" s="24"/>
      <c r="C84" s="24"/>
      <c r="D84" s="24"/>
      <c r="E84" s="24"/>
      <c r="F84" s="24"/>
      <c r="G84" s="57">
        <f>numberto22(ABS(D78-J78))</f>
        <v>4</v>
      </c>
      <c r="H84" s="58"/>
      <c r="I84" s="59">
        <f>numberto22(F78+L78)</f>
        <v>4</v>
      </c>
      <c r="J84" s="24"/>
    </row>
    <row r="85" spans="1:10" x14ac:dyDescent="0.25">
      <c r="A85" s="24"/>
      <c r="B85" s="24"/>
      <c r="C85" s="24"/>
      <c r="D85" s="24"/>
      <c r="E85" s="24"/>
      <c r="F85" s="24"/>
      <c r="G85" s="24"/>
      <c r="H85" s="24"/>
      <c r="I85" s="24"/>
      <c r="J85" s="24"/>
    </row>
    <row r="86" spans="1:10" x14ac:dyDescent="0.25">
      <c r="F86" s="24"/>
      <c r="G86" s="396"/>
      <c r="H86" s="396" t="s">
        <v>131</v>
      </c>
      <c r="I86" s="396"/>
      <c r="J86" s="24"/>
    </row>
    <row r="87" spans="1:10" x14ac:dyDescent="0.25">
      <c r="F87" s="24"/>
      <c r="G87" s="795" t="str">
        <f>CONCATENATE(Name1, " и ", Name2)</f>
        <v>Павел и Олеся</v>
      </c>
      <c r="H87" s="795"/>
      <c r="I87" s="795"/>
      <c r="J87" s="24"/>
    </row>
    <row r="88" spans="1:10" x14ac:dyDescent="0.25">
      <c r="F88" s="24"/>
      <c r="G88" s="24"/>
      <c r="H88" s="24"/>
      <c r="I88" s="24"/>
      <c r="J88" s="24"/>
    </row>
    <row r="89" spans="1:10" x14ac:dyDescent="0.25">
      <c r="F89" s="24"/>
      <c r="G89" s="24"/>
      <c r="H89" s="24"/>
      <c r="I89" s="24"/>
      <c r="J89" s="24"/>
    </row>
    <row r="90" spans="1:10" x14ac:dyDescent="0.25">
      <c r="F90" s="24"/>
      <c r="G90" s="24"/>
      <c r="H90" s="24"/>
      <c r="I90" s="24"/>
      <c r="J90" s="24"/>
    </row>
    <row r="94" spans="1:10" x14ac:dyDescent="0.25">
      <c r="A94" t="s">
        <v>132</v>
      </c>
      <c r="D94">
        <f ca="1">YEAR(TODAY())</f>
        <v>2022</v>
      </c>
    </row>
    <row r="96" spans="1:10" x14ac:dyDescent="0.25">
      <c r="A96" t="s">
        <v>59</v>
      </c>
    </row>
    <row r="97" spans="1:9" x14ac:dyDescent="0.25">
      <c r="B97">
        <f>DOB_Day1</f>
        <v>10</v>
      </c>
      <c r="C97">
        <f>DOB_Month1</f>
        <v>11</v>
      </c>
      <c r="D97">
        <f>DOB_Year1</f>
        <v>1972</v>
      </c>
      <c r="E97">
        <f>DOB_Day1*DOB_Month1*DOB_Year1</f>
        <v>216920</v>
      </c>
      <c r="F97" t="str">
        <f>E97&amp;REPT("0",7-LEN(E97))</f>
        <v>2169200</v>
      </c>
      <c r="H97">
        <f>SUM(C100:I100)/7</f>
        <v>2.8571428571428572</v>
      </c>
    </row>
    <row r="99" spans="1:9" x14ac:dyDescent="0.25">
      <c r="B99" s="82">
        <v>0</v>
      </c>
      <c r="C99" s="82">
        <v>10</v>
      </c>
      <c r="D99" s="82">
        <v>20</v>
      </c>
      <c r="E99" s="82">
        <v>30</v>
      </c>
      <c r="F99" s="82">
        <v>40</v>
      </c>
      <c r="G99" s="82">
        <v>50</v>
      </c>
      <c r="H99" s="82">
        <v>60</v>
      </c>
      <c r="I99" s="82">
        <v>70</v>
      </c>
    </row>
    <row r="100" spans="1:9" x14ac:dyDescent="0.25">
      <c r="B100">
        <v>0</v>
      </c>
      <c r="C100">
        <f>VALUE(MID($F$97,1,1))</f>
        <v>2</v>
      </c>
      <c r="D100">
        <f>VALUE(MID($F$97,2,1))</f>
        <v>1</v>
      </c>
      <c r="E100">
        <f>VALUE(MID($F$97,3,1))</f>
        <v>6</v>
      </c>
      <c r="F100">
        <f>VALUE(MID($F$97,4,1))</f>
        <v>9</v>
      </c>
      <c r="G100">
        <f>VALUE(MID($F$97,5,1))</f>
        <v>2</v>
      </c>
      <c r="H100">
        <f>VALUE(MID($F$97,6,1))</f>
        <v>0</v>
      </c>
      <c r="I100">
        <f>VALUE(MID($F$97,7,1))</f>
        <v>0</v>
      </c>
    </row>
    <row r="101" spans="1:9" x14ac:dyDescent="0.25">
      <c r="B101">
        <v>0</v>
      </c>
      <c r="C101" s="82">
        <f>C99+C100</f>
        <v>12</v>
      </c>
      <c r="D101" s="82">
        <f t="shared" ref="D101:I101" si="15">D99+D100</f>
        <v>21</v>
      </c>
      <c r="E101" s="82">
        <f t="shared" si="15"/>
        <v>36</v>
      </c>
      <c r="F101" s="82">
        <f t="shared" si="15"/>
        <v>49</v>
      </c>
      <c r="G101" s="82">
        <f t="shared" si="15"/>
        <v>52</v>
      </c>
      <c r="H101" s="82">
        <f t="shared" si="15"/>
        <v>60</v>
      </c>
      <c r="I101" s="82">
        <f t="shared" si="15"/>
        <v>70</v>
      </c>
    </row>
    <row r="102" spans="1:9" x14ac:dyDescent="0.25">
      <c r="B102" s="24">
        <f>YEAR(DATE(DOB_Year1,DOB_Month1,DOB_Day1))</f>
        <v>1972</v>
      </c>
      <c r="C102" s="82">
        <f>$B$102+C101</f>
        <v>1984</v>
      </c>
      <c r="D102" s="82">
        <f t="shared" ref="D102:I102" si="16">$B$102+D101</f>
        <v>1993</v>
      </c>
      <c r="E102" s="82">
        <f t="shared" si="16"/>
        <v>2008</v>
      </c>
      <c r="F102" s="82">
        <f t="shared" si="16"/>
        <v>2021</v>
      </c>
      <c r="G102" s="82">
        <f t="shared" si="16"/>
        <v>2024</v>
      </c>
      <c r="H102" s="82">
        <f t="shared" si="16"/>
        <v>2032</v>
      </c>
      <c r="I102" s="82">
        <f t="shared" si="16"/>
        <v>2042</v>
      </c>
    </row>
    <row r="103" spans="1:9" x14ac:dyDescent="0.25">
      <c r="A103" t="s">
        <v>60</v>
      </c>
    </row>
    <row r="104" spans="1:9" x14ac:dyDescent="0.25">
      <c r="B104">
        <f>DOB_Day2</f>
        <v>23</v>
      </c>
      <c r="C104">
        <f>DOB_Month2</f>
        <v>6</v>
      </c>
      <c r="D104">
        <f>DOB_Year2</f>
        <v>1985</v>
      </c>
      <c r="E104">
        <f>DOB_Day2*DOB_Month2*DOB_Year2</f>
        <v>273930</v>
      </c>
      <c r="F104" t="str">
        <f>E104&amp;REPT("0",7-LEN(E104))</f>
        <v>2739300</v>
      </c>
    </row>
    <row r="106" spans="1:9" x14ac:dyDescent="0.25">
      <c r="B106" s="82">
        <v>0</v>
      </c>
      <c r="C106" s="82">
        <v>10</v>
      </c>
      <c r="D106" s="82">
        <v>20</v>
      </c>
      <c r="E106" s="82">
        <v>30</v>
      </c>
      <c r="F106" s="82">
        <v>40</v>
      </c>
      <c r="G106" s="82">
        <v>50</v>
      </c>
      <c r="H106" s="82">
        <v>60</v>
      </c>
      <c r="I106" s="82">
        <v>70</v>
      </c>
    </row>
    <row r="107" spans="1:9" x14ac:dyDescent="0.25">
      <c r="B107">
        <v>0</v>
      </c>
      <c r="C107">
        <f>VALUE(MID($F$104,1,1))</f>
        <v>2</v>
      </c>
      <c r="D107">
        <f>VALUE(MID($F$104,2,1))</f>
        <v>7</v>
      </c>
      <c r="E107">
        <f>VALUE(MID($F$104,3,1))</f>
        <v>3</v>
      </c>
      <c r="F107">
        <f>VALUE(MID($F$104,4,1))</f>
        <v>9</v>
      </c>
      <c r="G107">
        <f>VALUE(MID($F$104,5,1))</f>
        <v>3</v>
      </c>
      <c r="H107">
        <f>VALUE(MID($F$104,6,1))</f>
        <v>0</v>
      </c>
      <c r="I107">
        <f>VALUE(MID($F$104,7,1))</f>
        <v>0</v>
      </c>
    </row>
    <row r="108" spans="1:9" x14ac:dyDescent="0.25">
      <c r="B108">
        <v>0</v>
      </c>
      <c r="C108" s="82">
        <f>C106+C107</f>
        <v>12</v>
      </c>
      <c r="D108" s="82">
        <f t="shared" ref="D108:I108" si="17">D106+D107</f>
        <v>27</v>
      </c>
      <c r="E108" s="82">
        <f t="shared" si="17"/>
        <v>33</v>
      </c>
      <c r="F108" s="82">
        <f t="shared" si="17"/>
        <v>49</v>
      </c>
      <c r="G108" s="82">
        <f t="shared" si="17"/>
        <v>53</v>
      </c>
      <c r="H108" s="82">
        <f t="shared" si="17"/>
        <v>60</v>
      </c>
      <c r="I108" s="82">
        <f t="shared" si="17"/>
        <v>70</v>
      </c>
    </row>
    <row r="109" spans="1:9" x14ac:dyDescent="0.25">
      <c r="B109" s="24">
        <f>YEAR(DATE(DOB_Year2, DOB_Month2, DOB_Day2))</f>
        <v>1985</v>
      </c>
      <c r="C109" s="82">
        <f>$B$109+C108</f>
        <v>1997</v>
      </c>
      <c r="D109" s="82">
        <f t="shared" ref="D109:I109" si="18">$B$109+D108</f>
        <v>2012</v>
      </c>
      <c r="E109" s="82">
        <f t="shared" si="18"/>
        <v>2018</v>
      </c>
      <c r="F109" s="82">
        <f t="shared" si="18"/>
        <v>2034</v>
      </c>
      <c r="G109" s="82">
        <f t="shared" si="18"/>
        <v>2038</v>
      </c>
      <c r="H109" s="82">
        <f t="shared" si="18"/>
        <v>2045</v>
      </c>
      <c r="I109" s="82">
        <f t="shared" si="18"/>
        <v>2055</v>
      </c>
    </row>
    <row r="124" spans="2:9" x14ac:dyDescent="0.25">
      <c r="B124" t="s">
        <v>175</v>
      </c>
    </row>
    <row r="126" spans="2:9" x14ac:dyDescent="0.25">
      <c r="B126">
        <f>U18*DOB_Year1*35</f>
        <v>3381980</v>
      </c>
      <c r="C126" t="str">
        <f>B126&amp;REPT("0",7-LEN(B126))</f>
        <v>3381980</v>
      </c>
    </row>
    <row r="128" spans="2:9" x14ac:dyDescent="0.25">
      <c r="B128" s="82">
        <v>0</v>
      </c>
      <c r="C128" s="82">
        <v>10</v>
      </c>
      <c r="D128" s="82">
        <v>20</v>
      </c>
      <c r="E128" s="82">
        <v>30</v>
      </c>
      <c r="F128" s="82">
        <v>40</v>
      </c>
      <c r="G128" s="82">
        <v>50</v>
      </c>
      <c r="H128" s="82">
        <v>60</v>
      </c>
      <c r="I128" s="82">
        <v>70</v>
      </c>
    </row>
    <row r="129" spans="2:9" x14ac:dyDescent="0.25">
      <c r="B129">
        <v>0</v>
      </c>
      <c r="C129">
        <f>VALUE(MID($C$126,7,1))</f>
        <v>0</v>
      </c>
      <c r="D129">
        <f>VALUE(MID($C$126,6,1))</f>
        <v>8</v>
      </c>
      <c r="E129">
        <f>VALUE(MID($C$126,5,1))</f>
        <v>9</v>
      </c>
      <c r="F129">
        <f>VALUE(MID($C$126,4,1))</f>
        <v>1</v>
      </c>
      <c r="G129">
        <f>VALUE(MID($C$126,3,1))</f>
        <v>8</v>
      </c>
      <c r="H129">
        <f>VALUE(MID($C$126,2,1))</f>
        <v>3</v>
      </c>
      <c r="I129">
        <f>VALUE(MID($C$126,1,1))</f>
        <v>3</v>
      </c>
    </row>
    <row r="130" spans="2:9" x14ac:dyDescent="0.25">
      <c r="B130" s="82">
        <f>B128+B129</f>
        <v>0</v>
      </c>
      <c r="C130" s="82">
        <f t="shared" ref="C130:I130" si="19">C128+C129</f>
        <v>10</v>
      </c>
      <c r="D130" s="82">
        <f t="shared" si="19"/>
        <v>28</v>
      </c>
      <c r="E130" s="82">
        <f t="shared" si="19"/>
        <v>39</v>
      </c>
      <c r="F130" s="82">
        <f t="shared" si="19"/>
        <v>41</v>
      </c>
      <c r="G130" s="82">
        <f t="shared" si="19"/>
        <v>58</v>
      </c>
      <c r="H130" s="82">
        <f t="shared" si="19"/>
        <v>63</v>
      </c>
      <c r="I130" s="82">
        <f t="shared" si="19"/>
        <v>73</v>
      </c>
    </row>
    <row r="131" spans="2:9" x14ac:dyDescent="0.25">
      <c r="B131">
        <f>YEAR(DATE(DOB_Year1,DOB_Month1,DOB_Day1))</f>
        <v>1972</v>
      </c>
      <c r="C131" s="82">
        <f>$B$131+C130</f>
        <v>1982</v>
      </c>
      <c r="D131" s="82">
        <f t="shared" ref="D131:I131" si="20">$B$131+D130</f>
        <v>2000</v>
      </c>
      <c r="E131" s="82">
        <f t="shared" si="20"/>
        <v>2011</v>
      </c>
      <c r="F131" s="82">
        <f t="shared" si="20"/>
        <v>2013</v>
      </c>
      <c r="G131" s="82">
        <f t="shared" si="20"/>
        <v>2030</v>
      </c>
      <c r="H131" s="82">
        <f t="shared" si="20"/>
        <v>2035</v>
      </c>
      <c r="I131" s="82">
        <f t="shared" si="20"/>
        <v>2045</v>
      </c>
    </row>
    <row r="133" spans="2:9" x14ac:dyDescent="0.25">
      <c r="B133" t="s">
        <v>176</v>
      </c>
    </row>
    <row r="135" spans="2:9" x14ac:dyDescent="0.25">
      <c r="B135">
        <f>U19*DOB_Year2*35</f>
        <v>3265325</v>
      </c>
      <c r="C135" t="str">
        <f>B135&amp;REPT("0",7-LEN(B135))</f>
        <v>3265325</v>
      </c>
    </row>
    <row r="137" spans="2:9" x14ac:dyDescent="0.25">
      <c r="B137" s="82">
        <v>0</v>
      </c>
      <c r="C137" s="82">
        <v>10</v>
      </c>
      <c r="D137" s="82">
        <v>20</v>
      </c>
      <c r="E137" s="82">
        <v>30</v>
      </c>
      <c r="F137" s="82">
        <v>40</v>
      </c>
      <c r="G137" s="82">
        <v>50</v>
      </c>
      <c r="H137" s="82">
        <v>60</v>
      </c>
      <c r="I137" s="82">
        <v>70</v>
      </c>
    </row>
    <row r="138" spans="2:9" x14ac:dyDescent="0.25">
      <c r="B138">
        <v>0</v>
      </c>
      <c r="C138">
        <f>VALUE(MID($C$135,7,1))</f>
        <v>5</v>
      </c>
      <c r="D138">
        <f>VALUE(MID($C$135,6,1))</f>
        <v>2</v>
      </c>
      <c r="E138">
        <f>VALUE(MID($C$135,5,1))</f>
        <v>3</v>
      </c>
      <c r="F138">
        <f>VALUE(MID($C$135,4,1))</f>
        <v>5</v>
      </c>
      <c r="G138">
        <f>VALUE(MID($C$135,3,1))</f>
        <v>6</v>
      </c>
      <c r="H138">
        <f>VALUE(MID($C$135,2,1))</f>
        <v>2</v>
      </c>
      <c r="I138">
        <f>VALUE(MID($C$135,1,1))</f>
        <v>3</v>
      </c>
    </row>
    <row r="139" spans="2:9" x14ac:dyDescent="0.25">
      <c r="B139" s="82">
        <f>B137+B138</f>
        <v>0</v>
      </c>
      <c r="C139" s="82">
        <f t="shared" ref="C139:I139" si="21">C137+C138</f>
        <v>15</v>
      </c>
      <c r="D139" s="82">
        <f t="shared" si="21"/>
        <v>22</v>
      </c>
      <c r="E139" s="82">
        <f t="shared" si="21"/>
        <v>33</v>
      </c>
      <c r="F139" s="82">
        <f t="shared" si="21"/>
        <v>45</v>
      </c>
      <c r="G139" s="82">
        <f t="shared" si="21"/>
        <v>56</v>
      </c>
      <c r="H139" s="82">
        <f t="shared" si="21"/>
        <v>62</v>
      </c>
      <c r="I139" s="82">
        <f t="shared" si="21"/>
        <v>73</v>
      </c>
    </row>
    <row r="140" spans="2:9" x14ac:dyDescent="0.25">
      <c r="B140">
        <f>YEAR(DATE(DOB_Year2, DOB_Month2, DOB_Day2))</f>
        <v>1985</v>
      </c>
      <c r="C140" s="82">
        <f>$B$140+C139</f>
        <v>2000</v>
      </c>
      <c r="D140" s="82">
        <f t="shared" ref="D140:I140" si="22">$B$140+D139</f>
        <v>2007</v>
      </c>
      <c r="E140" s="82">
        <f t="shared" si="22"/>
        <v>2018</v>
      </c>
      <c r="F140" s="82">
        <f t="shared" si="22"/>
        <v>2030</v>
      </c>
      <c r="G140" s="82">
        <f t="shared" si="22"/>
        <v>2041</v>
      </c>
      <c r="H140" s="82">
        <f t="shared" si="22"/>
        <v>2047</v>
      </c>
      <c r="I140" s="82">
        <f t="shared" si="22"/>
        <v>2058</v>
      </c>
    </row>
    <row r="154" spans="1:9" x14ac:dyDescent="0.25">
      <c r="A154" t="s">
        <v>191</v>
      </c>
    </row>
    <row r="156" spans="1:9" x14ac:dyDescent="0.25">
      <c r="A156" t="s">
        <v>187</v>
      </c>
      <c r="B156" t="s">
        <v>186</v>
      </c>
      <c r="C156" t="s">
        <v>190</v>
      </c>
    </row>
    <row r="157" spans="1:9" x14ac:dyDescent="0.25">
      <c r="B157">
        <f>U18*DOB_Year1*52</f>
        <v>5024656</v>
      </c>
      <c r="C157" t="str">
        <f>B157&amp;REPT("0",7-LEN(B157))</f>
        <v>5024656</v>
      </c>
    </row>
    <row r="159" spans="1:9" x14ac:dyDescent="0.25">
      <c r="B159" s="82">
        <v>0</v>
      </c>
      <c r="C159" s="82">
        <v>10</v>
      </c>
      <c r="D159" s="82">
        <v>20</v>
      </c>
      <c r="E159" s="82">
        <v>30</v>
      </c>
      <c r="F159" s="82">
        <v>40</v>
      </c>
      <c r="G159" s="82">
        <v>50</v>
      </c>
      <c r="H159" s="82">
        <v>60</v>
      </c>
      <c r="I159" s="82">
        <v>70</v>
      </c>
    </row>
    <row r="160" spans="1:9" x14ac:dyDescent="0.25">
      <c r="B160">
        <v>0</v>
      </c>
      <c r="C160">
        <f>VALUE(MID($C$157,1,1))</f>
        <v>5</v>
      </c>
      <c r="D160">
        <f>VALUE(MID($C$157,2,1))</f>
        <v>0</v>
      </c>
      <c r="E160">
        <f>VALUE(MID($C$157,3,1))</f>
        <v>2</v>
      </c>
      <c r="F160">
        <f>VALUE(MID($C$157,4,1))</f>
        <v>4</v>
      </c>
      <c r="G160">
        <f>VALUE(MID($C$157,5,1))</f>
        <v>6</v>
      </c>
      <c r="H160">
        <f>VALUE(MID($C$157,6,1))</f>
        <v>5</v>
      </c>
      <c r="I160">
        <f>VALUE(MID($C$157,7,1))</f>
        <v>6</v>
      </c>
    </row>
    <row r="161" spans="2:9" x14ac:dyDescent="0.25">
      <c r="B161" s="82">
        <f>B159+B160</f>
        <v>0</v>
      </c>
      <c r="C161" s="82">
        <f>C159+C160</f>
        <v>15</v>
      </c>
      <c r="D161" s="82">
        <f t="shared" ref="D161:I161" si="23">D159+D160</f>
        <v>20</v>
      </c>
      <c r="E161" s="82">
        <f t="shared" si="23"/>
        <v>32</v>
      </c>
      <c r="F161" s="82">
        <f t="shared" si="23"/>
        <v>44</v>
      </c>
      <c r="G161" s="82">
        <f t="shared" si="23"/>
        <v>56</v>
      </c>
      <c r="H161" s="82">
        <f t="shared" si="23"/>
        <v>65</v>
      </c>
      <c r="I161" s="82">
        <f t="shared" si="23"/>
        <v>76</v>
      </c>
    </row>
    <row r="162" spans="2:9" x14ac:dyDescent="0.25">
      <c r="B162">
        <f>YEAR(DATE(DOB_Year1,DOB_Month1,DOB_Day1))</f>
        <v>1972</v>
      </c>
      <c r="C162" s="82">
        <f>$B$162+C161</f>
        <v>1987</v>
      </c>
      <c r="D162" s="82">
        <f t="shared" ref="D162:I162" si="24">$B$162+D161</f>
        <v>1992</v>
      </c>
      <c r="E162" s="82">
        <f t="shared" si="24"/>
        <v>2004</v>
      </c>
      <c r="F162" s="82">
        <f t="shared" si="24"/>
        <v>2016</v>
      </c>
      <c r="G162" s="82">
        <f t="shared" si="24"/>
        <v>2028</v>
      </c>
      <c r="H162" s="82">
        <f t="shared" si="24"/>
        <v>2037</v>
      </c>
      <c r="I162" s="82">
        <f t="shared" si="24"/>
        <v>2048</v>
      </c>
    </row>
    <row r="163" spans="2:9" x14ac:dyDescent="0.25">
      <c r="B163">
        <f>U19*DOB_Year1*52</f>
        <v>4819568</v>
      </c>
      <c r="C163" t="str">
        <f>B163&amp;REPT("0",7-LEN(B163))</f>
        <v>4819568</v>
      </c>
    </row>
    <row r="165" spans="2:9" x14ac:dyDescent="0.25">
      <c r="B165" s="82">
        <v>0</v>
      </c>
      <c r="C165" s="82">
        <v>10</v>
      </c>
      <c r="D165" s="82">
        <v>20</v>
      </c>
      <c r="E165" s="82">
        <v>30</v>
      </c>
      <c r="F165" s="82">
        <v>40</v>
      </c>
      <c r="G165" s="82">
        <v>50</v>
      </c>
      <c r="H165" s="82">
        <v>60</v>
      </c>
      <c r="I165" s="82">
        <v>70</v>
      </c>
    </row>
    <row r="166" spans="2:9" x14ac:dyDescent="0.25">
      <c r="B166">
        <v>0</v>
      </c>
      <c r="C166">
        <f>VALUE(MID($C$163,1,1))</f>
        <v>4</v>
      </c>
      <c r="D166">
        <f>VALUE(MID($C$163,2,1))</f>
        <v>8</v>
      </c>
      <c r="E166">
        <f>VALUE(MID($C$163,3,1))</f>
        <v>1</v>
      </c>
      <c r="F166">
        <f>VALUE(MID($C$163,4,1))</f>
        <v>9</v>
      </c>
      <c r="G166">
        <f>VALUE(MID($C$163,5,1))</f>
        <v>5</v>
      </c>
      <c r="H166">
        <f>VALUE(MID($C$163,6,1))</f>
        <v>6</v>
      </c>
      <c r="I166">
        <f>VALUE(MID($C$163,7,1))</f>
        <v>8</v>
      </c>
    </row>
    <row r="167" spans="2:9" x14ac:dyDescent="0.25">
      <c r="B167" s="82">
        <f>B165+B166</f>
        <v>0</v>
      </c>
      <c r="C167" s="82">
        <f>C165+C166</f>
        <v>14</v>
      </c>
      <c r="D167" s="82">
        <f t="shared" ref="D167:I167" si="25">D165+D166</f>
        <v>28</v>
      </c>
      <c r="E167" s="82">
        <f t="shared" si="25"/>
        <v>31</v>
      </c>
      <c r="F167" s="82">
        <f t="shared" si="25"/>
        <v>49</v>
      </c>
      <c r="G167" s="82">
        <f t="shared" si="25"/>
        <v>55</v>
      </c>
      <c r="H167" s="82">
        <f t="shared" si="25"/>
        <v>66</v>
      </c>
      <c r="I167" s="82">
        <f t="shared" si="25"/>
        <v>78</v>
      </c>
    </row>
    <row r="168" spans="2:9" x14ac:dyDescent="0.25">
      <c r="B168">
        <f>YEAR(DATE(DOB_Year2, DOB_Month2, DOB_Day2))</f>
        <v>1985</v>
      </c>
      <c r="C168" s="82">
        <f>$B$168+C167</f>
        <v>1999</v>
      </c>
      <c r="D168" s="82">
        <f t="shared" ref="D168:I168" si="26">$B$168+D167</f>
        <v>2013</v>
      </c>
      <c r="E168" s="82">
        <f t="shared" si="26"/>
        <v>2016</v>
      </c>
      <c r="F168" s="82">
        <f t="shared" si="26"/>
        <v>2034</v>
      </c>
      <c r="G168" s="82">
        <f t="shared" si="26"/>
        <v>2040</v>
      </c>
      <c r="H168" s="82">
        <f t="shared" si="26"/>
        <v>2051</v>
      </c>
      <c r="I168" s="82">
        <f t="shared" si="26"/>
        <v>2063</v>
      </c>
    </row>
    <row r="180" spans="1:9" x14ac:dyDescent="0.25">
      <c r="A180" t="s">
        <v>226</v>
      </c>
    </row>
    <row r="182" spans="1:9" x14ac:dyDescent="0.25">
      <c r="A182" t="s">
        <v>181</v>
      </c>
      <c r="B182" t="s">
        <v>3</v>
      </c>
      <c r="C182" t="s">
        <v>182</v>
      </c>
      <c r="D182" t="s">
        <v>11</v>
      </c>
      <c r="E182" t="s">
        <v>183</v>
      </c>
      <c r="F182" t="s">
        <v>12</v>
      </c>
    </row>
    <row r="183" spans="1:9" x14ac:dyDescent="0.25">
      <c r="B183">
        <f>DOB_Day1</f>
        <v>10</v>
      </c>
      <c r="D183">
        <f>DOB_Month1</f>
        <v>11</v>
      </c>
      <c r="F183">
        <f>DOB_Year1</f>
        <v>1972</v>
      </c>
      <c r="G183">
        <f>(B183+D183)*F183</f>
        <v>41412</v>
      </c>
      <c r="H183" t="str">
        <f>G183&amp;REPT("0",7-LEN(G183))</f>
        <v>4141200</v>
      </c>
    </row>
    <row r="185" spans="1:9" x14ac:dyDescent="0.25">
      <c r="B185" s="24">
        <v>0</v>
      </c>
      <c r="C185" s="24">
        <v>12</v>
      </c>
      <c r="D185" s="24">
        <v>24</v>
      </c>
      <c r="E185" s="24">
        <v>36</v>
      </c>
      <c r="F185" s="24">
        <v>48</v>
      </c>
      <c r="G185" s="24">
        <v>60</v>
      </c>
      <c r="H185" s="24">
        <v>72</v>
      </c>
      <c r="I185" s="24">
        <v>84</v>
      </c>
    </row>
    <row r="186" spans="1:9" x14ac:dyDescent="0.25">
      <c r="B186">
        <v>0</v>
      </c>
      <c r="C186">
        <f>VALUE(MID($H$183,1,1))</f>
        <v>4</v>
      </c>
      <c r="D186">
        <f>VALUE(MID($H$183,2,1))</f>
        <v>1</v>
      </c>
      <c r="E186">
        <f>VALUE(MID($H$183,3,1))</f>
        <v>4</v>
      </c>
      <c r="F186">
        <f>VALUE(MID($H$183,4,1))</f>
        <v>1</v>
      </c>
      <c r="G186">
        <f>VALUE(MID($H$183,5,1))</f>
        <v>2</v>
      </c>
      <c r="H186">
        <f>VALUE(MID($H$183,6,1))</f>
        <v>0</v>
      </c>
      <c r="I186">
        <f>VALUE(MID($H$183,7,1))</f>
        <v>0</v>
      </c>
    </row>
    <row r="187" spans="1:9" x14ac:dyDescent="0.25">
      <c r="B187">
        <v>0</v>
      </c>
      <c r="C187">
        <f>C185+C186</f>
        <v>16</v>
      </c>
      <c r="D187">
        <f t="shared" ref="D187:I187" si="27">D185+D186</f>
        <v>25</v>
      </c>
      <c r="E187">
        <f t="shared" si="27"/>
        <v>40</v>
      </c>
      <c r="F187">
        <f t="shared" si="27"/>
        <v>49</v>
      </c>
      <c r="G187">
        <f t="shared" si="27"/>
        <v>62</v>
      </c>
      <c r="H187">
        <f t="shared" si="27"/>
        <v>72</v>
      </c>
      <c r="I187">
        <f t="shared" si="27"/>
        <v>84</v>
      </c>
    </row>
    <row r="188" spans="1:9" x14ac:dyDescent="0.25">
      <c r="B188">
        <f>YEAR(DATE(DOB_Year1,DOB_Month1,DOB_Day1))</f>
        <v>1972</v>
      </c>
      <c r="C188">
        <f>$B$188+C187</f>
        <v>1988</v>
      </c>
      <c r="D188">
        <f t="shared" ref="D188:I188" si="28">$B$188+D187</f>
        <v>1997</v>
      </c>
      <c r="E188">
        <f t="shared" si="28"/>
        <v>2012</v>
      </c>
      <c r="F188">
        <f t="shared" si="28"/>
        <v>2021</v>
      </c>
      <c r="G188">
        <f t="shared" si="28"/>
        <v>2034</v>
      </c>
      <c r="H188">
        <f t="shared" si="28"/>
        <v>2044</v>
      </c>
      <c r="I188">
        <f t="shared" si="28"/>
        <v>2056</v>
      </c>
    </row>
    <row r="190" spans="1:9" x14ac:dyDescent="0.25">
      <c r="B190">
        <f>DOB_Day2</f>
        <v>23</v>
      </c>
      <c r="D190">
        <f>DOB_Month2</f>
        <v>6</v>
      </c>
      <c r="F190">
        <f>DOB_Year2</f>
        <v>1985</v>
      </c>
      <c r="G190">
        <f>(B190+D190)*F190</f>
        <v>57565</v>
      </c>
      <c r="H190" t="str">
        <f>G190&amp;REPT("0",7-LEN(G190))</f>
        <v>5756500</v>
      </c>
    </row>
    <row r="192" spans="1:9" x14ac:dyDescent="0.25">
      <c r="B192" s="24">
        <v>0</v>
      </c>
      <c r="C192" s="24">
        <v>12</v>
      </c>
      <c r="D192" s="24">
        <v>24</v>
      </c>
      <c r="E192" s="24">
        <v>36</v>
      </c>
      <c r="F192" s="24">
        <v>48</v>
      </c>
      <c r="G192" s="24">
        <v>60</v>
      </c>
      <c r="H192" s="24">
        <v>72</v>
      </c>
      <c r="I192" s="24">
        <v>84</v>
      </c>
    </row>
    <row r="193" spans="2:9" x14ac:dyDescent="0.25">
      <c r="B193">
        <v>0</v>
      </c>
      <c r="C193">
        <f>VALUE(MID($H$190,1,1))</f>
        <v>5</v>
      </c>
      <c r="D193">
        <f>VALUE(MID($H$190,2,1))</f>
        <v>7</v>
      </c>
      <c r="E193">
        <f>VALUE(MID($H$190,3,1))</f>
        <v>5</v>
      </c>
      <c r="F193">
        <f>VALUE(MID($H$190,4,1))</f>
        <v>6</v>
      </c>
      <c r="G193">
        <f>VALUE(MID($H$190,5,1))</f>
        <v>5</v>
      </c>
      <c r="H193">
        <f>VALUE(MID($H$190,6,1))</f>
        <v>0</v>
      </c>
      <c r="I193">
        <f>VALUE(MID($H$190,7,1))</f>
        <v>0</v>
      </c>
    </row>
    <row r="194" spans="2:9" x14ac:dyDescent="0.25">
      <c r="B194">
        <v>0</v>
      </c>
      <c r="C194">
        <f>C192+C193</f>
        <v>17</v>
      </c>
      <c r="D194">
        <f t="shared" ref="D194:I194" si="29">D192+D193</f>
        <v>31</v>
      </c>
      <c r="E194">
        <f t="shared" si="29"/>
        <v>41</v>
      </c>
      <c r="F194">
        <f t="shared" si="29"/>
        <v>54</v>
      </c>
      <c r="G194">
        <f t="shared" si="29"/>
        <v>65</v>
      </c>
      <c r="H194">
        <f t="shared" si="29"/>
        <v>72</v>
      </c>
      <c r="I194">
        <f t="shared" si="29"/>
        <v>84</v>
      </c>
    </row>
    <row r="195" spans="2:9" x14ac:dyDescent="0.25">
      <c r="B195">
        <f>YEAR(DATE(DOB_Year2, DOB_Month2, DOB_Day2))</f>
        <v>1985</v>
      </c>
      <c r="C195">
        <f>$B$195+C194</f>
        <v>2002</v>
      </c>
      <c r="D195">
        <f t="shared" ref="D195:I195" si="30">$B$195+D194</f>
        <v>2016</v>
      </c>
      <c r="E195">
        <f t="shared" si="30"/>
        <v>2026</v>
      </c>
      <c r="F195">
        <f t="shared" si="30"/>
        <v>2039</v>
      </c>
      <c r="G195">
        <f t="shared" si="30"/>
        <v>2050</v>
      </c>
      <c r="H195">
        <f t="shared" si="30"/>
        <v>2057</v>
      </c>
      <c r="I195">
        <f t="shared" si="30"/>
        <v>2069</v>
      </c>
    </row>
    <row r="214" spans="1:16" x14ac:dyDescent="0.25">
      <c r="A214" t="s">
        <v>227</v>
      </c>
    </row>
    <row r="215" spans="1:16" x14ac:dyDescent="0.25">
      <c r="J215" t="s">
        <v>230</v>
      </c>
      <c r="K215" t="s">
        <v>231</v>
      </c>
      <c r="L215" t="s">
        <v>232</v>
      </c>
      <c r="N215" t="s">
        <v>230</v>
      </c>
      <c r="O215" t="s">
        <v>231</v>
      </c>
      <c r="P215" t="s">
        <v>232</v>
      </c>
    </row>
    <row r="216" spans="1:16" x14ac:dyDescent="0.25">
      <c r="B216" s="24">
        <f>MKist1</f>
        <v>49</v>
      </c>
      <c r="C216" s="24">
        <f>DOB_Year1</f>
        <v>1972</v>
      </c>
      <c r="D216" s="24">
        <f>12</f>
        <v>12</v>
      </c>
      <c r="E216" s="24"/>
      <c r="F216" s="24">
        <f>B216*C216*D216</f>
        <v>1159536</v>
      </c>
      <c r="G216" t="str">
        <f>F216&amp;REPT("0",7-LEN(F216))</f>
        <v>1159536</v>
      </c>
      <c r="H216" s="24"/>
      <c r="J216">
        <f>C216</f>
        <v>1972</v>
      </c>
      <c r="K216">
        <v>1</v>
      </c>
      <c r="L216">
        <f>VALUE(MID($G$216,K216,1))</f>
        <v>1</v>
      </c>
      <c r="N216">
        <f>DOB_Year2</f>
        <v>1985</v>
      </c>
      <c r="O216">
        <v>1</v>
      </c>
      <c r="P216">
        <f>VALUE(MID($G$225,O216,1))</f>
        <v>1</v>
      </c>
    </row>
    <row r="217" spans="1:16" x14ac:dyDescent="0.25">
      <c r="B217" s="24"/>
      <c r="C217" s="24"/>
      <c r="D217" s="24"/>
      <c r="E217" s="24"/>
      <c r="F217" s="24"/>
      <c r="G217" s="24"/>
      <c r="H217" s="24"/>
      <c r="J217">
        <f>J216+1</f>
        <v>1973</v>
      </c>
      <c r="K217">
        <v>2</v>
      </c>
      <c r="L217">
        <f t="shared" ref="L217:L280" si="31">VALUE(MID($G$216,K217,1))</f>
        <v>1</v>
      </c>
      <c r="N217">
        <f>N216+1</f>
        <v>1986</v>
      </c>
      <c r="O217">
        <v>2</v>
      </c>
      <c r="P217">
        <f t="shared" ref="P217:P280" si="32">VALUE(MID($G$225,O217,1))</f>
        <v>1</v>
      </c>
    </row>
    <row r="218" spans="1:16" x14ac:dyDescent="0.25">
      <c r="A218" t="s">
        <v>228</v>
      </c>
      <c r="B218" s="24">
        <v>1</v>
      </c>
      <c r="C218" s="24">
        <v>2</v>
      </c>
      <c r="D218" s="24">
        <v>3</v>
      </c>
      <c r="E218" s="24">
        <v>4</v>
      </c>
      <c r="F218" s="24">
        <v>5</v>
      </c>
      <c r="G218" s="24">
        <v>6</v>
      </c>
      <c r="H218" s="24">
        <v>7</v>
      </c>
      <c r="J218">
        <f t="shared" ref="J218:J281" si="33">J217+1</f>
        <v>1974</v>
      </c>
      <c r="K218">
        <v>3</v>
      </c>
      <c r="L218">
        <f t="shared" si="31"/>
        <v>5</v>
      </c>
      <c r="N218">
        <f t="shared" ref="N218:N281" si="34">N217+1</f>
        <v>1987</v>
      </c>
      <c r="O218">
        <v>3</v>
      </c>
      <c r="P218">
        <f t="shared" si="32"/>
        <v>1</v>
      </c>
    </row>
    <row r="219" spans="1:16" x14ac:dyDescent="0.25">
      <c r="A219" t="s">
        <v>196</v>
      </c>
      <c r="B219" s="24">
        <f>VALUE(MID($G$216,B218,1))</f>
        <v>1</v>
      </c>
      <c r="C219" s="24">
        <f t="shared" ref="C219:H219" si="35">VALUE(MID($G$216,C218,1))</f>
        <v>1</v>
      </c>
      <c r="D219" s="24">
        <f t="shared" si="35"/>
        <v>5</v>
      </c>
      <c r="E219" s="24">
        <f t="shared" si="35"/>
        <v>9</v>
      </c>
      <c r="F219" s="24">
        <f t="shared" si="35"/>
        <v>5</v>
      </c>
      <c r="G219" s="24">
        <f t="shared" si="35"/>
        <v>3</v>
      </c>
      <c r="H219" s="24">
        <f t="shared" si="35"/>
        <v>6</v>
      </c>
      <c r="J219">
        <f t="shared" si="33"/>
        <v>1975</v>
      </c>
      <c r="K219">
        <v>4</v>
      </c>
      <c r="L219">
        <f t="shared" si="31"/>
        <v>9</v>
      </c>
      <c r="N219">
        <f t="shared" si="34"/>
        <v>1988</v>
      </c>
      <c r="O219">
        <v>4</v>
      </c>
      <c r="P219">
        <f t="shared" si="32"/>
        <v>9</v>
      </c>
    </row>
    <row r="220" spans="1:16" x14ac:dyDescent="0.25">
      <c r="A220" t="s">
        <v>229</v>
      </c>
      <c r="B220" s="24">
        <v>5</v>
      </c>
      <c r="C220" s="24">
        <v>5</v>
      </c>
      <c r="D220" s="24">
        <v>5</v>
      </c>
      <c r="E220" s="24">
        <v>5</v>
      </c>
      <c r="F220" s="24">
        <v>5</v>
      </c>
      <c r="G220" s="24">
        <v>5</v>
      </c>
      <c r="H220" s="24">
        <v>5</v>
      </c>
      <c r="J220">
        <f t="shared" si="33"/>
        <v>1976</v>
      </c>
      <c r="K220">
        <v>5</v>
      </c>
      <c r="L220">
        <f t="shared" si="31"/>
        <v>5</v>
      </c>
      <c r="N220">
        <f t="shared" si="34"/>
        <v>1989</v>
      </c>
      <c r="O220">
        <v>5</v>
      </c>
      <c r="P220">
        <f t="shared" si="32"/>
        <v>5</v>
      </c>
    </row>
    <row r="221" spans="1:16" x14ac:dyDescent="0.25">
      <c r="A221" t="s">
        <v>12</v>
      </c>
      <c r="B221" s="24">
        <f ca="1">YEAR(TODAY())</f>
        <v>2022</v>
      </c>
      <c r="C221" s="24">
        <f ca="1">B221+1</f>
        <v>2023</v>
      </c>
      <c r="D221" s="24">
        <f ca="1">C221+1</f>
        <v>2024</v>
      </c>
      <c r="E221" s="24">
        <f t="shared" ref="E221:H221" ca="1" si="36">D221+1</f>
        <v>2025</v>
      </c>
      <c r="F221" s="24">
        <f t="shared" ca="1" si="36"/>
        <v>2026</v>
      </c>
      <c r="G221" s="24">
        <f t="shared" ca="1" si="36"/>
        <v>2027</v>
      </c>
      <c r="H221" s="24">
        <f t="shared" ca="1" si="36"/>
        <v>2028</v>
      </c>
      <c r="J221">
        <f t="shared" si="33"/>
        <v>1977</v>
      </c>
      <c r="K221">
        <v>6</v>
      </c>
      <c r="L221">
        <f t="shared" si="31"/>
        <v>3</v>
      </c>
      <c r="N221">
        <f t="shared" si="34"/>
        <v>1990</v>
      </c>
      <c r="O221">
        <v>6</v>
      </c>
      <c r="P221">
        <f t="shared" si="32"/>
        <v>4</v>
      </c>
    </row>
    <row r="222" spans="1:16" x14ac:dyDescent="0.25">
      <c r="A222" t="s">
        <v>228</v>
      </c>
      <c r="B222" s="24">
        <f ca="1">VLOOKUP(B221,$J$216:$L$320,2,FALSE)</f>
        <v>2</v>
      </c>
      <c r="C222" s="24">
        <f t="shared" ref="C222:H222" ca="1" si="37">VLOOKUP(C221,$J$216:$L$320,2,FALSE)</f>
        <v>3</v>
      </c>
      <c r="D222" s="24">
        <f t="shared" ca="1" si="37"/>
        <v>4</v>
      </c>
      <c r="E222" s="24">
        <f t="shared" ca="1" si="37"/>
        <v>5</v>
      </c>
      <c r="F222" s="24">
        <f t="shared" ca="1" si="37"/>
        <v>6</v>
      </c>
      <c r="G222" s="24">
        <f t="shared" ca="1" si="37"/>
        <v>7</v>
      </c>
      <c r="H222" s="24">
        <f t="shared" ca="1" si="37"/>
        <v>1</v>
      </c>
      <c r="J222">
        <f t="shared" si="33"/>
        <v>1978</v>
      </c>
      <c r="K222">
        <v>7</v>
      </c>
      <c r="L222">
        <f t="shared" si="31"/>
        <v>6</v>
      </c>
      <c r="N222">
        <f t="shared" si="34"/>
        <v>1991</v>
      </c>
      <c r="O222">
        <v>7</v>
      </c>
      <c r="P222">
        <f t="shared" si="32"/>
        <v>0</v>
      </c>
    </row>
    <row r="223" spans="1:16" x14ac:dyDescent="0.25">
      <c r="B223" s="24">
        <f ca="1">VLOOKUP(B221,$J$216:$L$320,3,FALSE)</f>
        <v>1</v>
      </c>
      <c r="C223" s="24">
        <f t="shared" ref="C223:H223" ca="1" si="38">VLOOKUP(C221,$J$216:$L$320,3,FALSE)</f>
        <v>5</v>
      </c>
      <c r="D223" s="24">
        <f t="shared" ca="1" si="38"/>
        <v>9</v>
      </c>
      <c r="E223" s="24">
        <f t="shared" ca="1" si="38"/>
        <v>5</v>
      </c>
      <c r="F223" s="24">
        <f t="shared" ca="1" si="38"/>
        <v>3</v>
      </c>
      <c r="G223" s="24">
        <f t="shared" ca="1" si="38"/>
        <v>6</v>
      </c>
      <c r="H223" s="24">
        <f t="shared" ca="1" si="38"/>
        <v>1</v>
      </c>
      <c r="J223">
        <f t="shared" si="33"/>
        <v>1979</v>
      </c>
      <c r="K223">
        <v>1</v>
      </c>
      <c r="L223">
        <f t="shared" si="31"/>
        <v>1</v>
      </c>
      <c r="N223">
        <f t="shared" si="34"/>
        <v>1992</v>
      </c>
      <c r="O223">
        <v>1</v>
      </c>
      <c r="P223">
        <f t="shared" si="32"/>
        <v>1</v>
      </c>
    </row>
    <row r="224" spans="1:16" x14ac:dyDescent="0.25">
      <c r="J224">
        <f t="shared" si="33"/>
        <v>1980</v>
      </c>
      <c r="K224">
        <v>2</v>
      </c>
      <c r="L224">
        <f t="shared" si="31"/>
        <v>1</v>
      </c>
      <c r="N224">
        <f t="shared" si="34"/>
        <v>1993</v>
      </c>
      <c r="O224">
        <v>2</v>
      </c>
      <c r="P224">
        <f t="shared" si="32"/>
        <v>1</v>
      </c>
    </row>
    <row r="225" spans="1:16" x14ac:dyDescent="0.25">
      <c r="B225">
        <f>MKist2</f>
        <v>47</v>
      </c>
      <c r="C225">
        <f>DOB_Year2</f>
        <v>1985</v>
      </c>
      <c r="D225">
        <v>12</v>
      </c>
      <c r="F225" s="24">
        <f>B225*C225*D225</f>
        <v>1119540</v>
      </c>
      <c r="G225" t="str">
        <f>F225&amp;REPT("0",7-LEN(F225))</f>
        <v>1119540</v>
      </c>
      <c r="J225">
        <f t="shared" si="33"/>
        <v>1981</v>
      </c>
      <c r="K225">
        <v>3</v>
      </c>
      <c r="L225">
        <f t="shared" si="31"/>
        <v>5</v>
      </c>
      <c r="N225">
        <f t="shared" si="34"/>
        <v>1994</v>
      </c>
      <c r="O225">
        <v>3</v>
      </c>
      <c r="P225">
        <f t="shared" si="32"/>
        <v>1</v>
      </c>
    </row>
    <row r="226" spans="1:16" x14ac:dyDescent="0.25">
      <c r="A226" t="s">
        <v>228</v>
      </c>
      <c r="B226" s="24">
        <v>1</v>
      </c>
      <c r="C226" s="24">
        <v>2</v>
      </c>
      <c r="D226" s="24">
        <v>3</v>
      </c>
      <c r="E226" s="24">
        <v>4</v>
      </c>
      <c r="F226" s="24">
        <v>5</v>
      </c>
      <c r="G226" s="24">
        <v>6</v>
      </c>
      <c r="H226" s="24">
        <v>7</v>
      </c>
      <c r="J226">
        <f t="shared" si="33"/>
        <v>1982</v>
      </c>
      <c r="K226">
        <v>4</v>
      </c>
      <c r="L226">
        <f t="shared" si="31"/>
        <v>9</v>
      </c>
      <c r="N226">
        <f t="shared" si="34"/>
        <v>1995</v>
      </c>
      <c r="O226">
        <v>4</v>
      </c>
      <c r="P226">
        <f t="shared" si="32"/>
        <v>9</v>
      </c>
    </row>
    <row r="227" spans="1:16" x14ac:dyDescent="0.25">
      <c r="A227" t="s">
        <v>196</v>
      </c>
      <c r="B227" s="24">
        <f t="shared" ref="B227:H227" si="39">VALUE(MID($G$225,B226,1))</f>
        <v>1</v>
      </c>
      <c r="C227" s="24">
        <f t="shared" si="39"/>
        <v>1</v>
      </c>
      <c r="D227" s="24">
        <f t="shared" si="39"/>
        <v>1</v>
      </c>
      <c r="E227" s="24">
        <f t="shared" si="39"/>
        <v>9</v>
      </c>
      <c r="F227" s="24">
        <f t="shared" si="39"/>
        <v>5</v>
      </c>
      <c r="G227" s="24">
        <f t="shared" si="39"/>
        <v>4</v>
      </c>
      <c r="H227" s="24">
        <f t="shared" si="39"/>
        <v>0</v>
      </c>
      <c r="J227">
        <f t="shared" si="33"/>
        <v>1983</v>
      </c>
      <c r="K227">
        <v>5</v>
      </c>
      <c r="L227">
        <f t="shared" si="31"/>
        <v>5</v>
      </c>
      <c r="N227">
        <f t="shared" si="34"/>
        <v>1996</v>
      </c>
      <c r="O227">
        <v>5</v>
      </c>
      <c r="P227">
        <f t="shared" si="32"/>
        <v>5</v>
      </c>
    </row>
    <row r="228" spans="1:16" x14ac:dyDescent="0.25">
      <c r="A228" t="s">
        <v>229</v>
      </c>
      <c r="B228" s="24">
        <v>5</v>
      </c>
      <c r="C228" s="24">
        <v>5</v>
      </c>
      <c r="D228" s="24">
        <v>5</v>
      </c>
      <c r="E228" s="24">
        <v>5</v>
      </c>
      <c r="F228" s="24">
        <v>5</v>
      </c>
      <c r="G228" s="24">
        <v>5</v>
      </c>
      <c r="H228" s="24">
        <v>5</v>
      </c>
      <c r="J228">
        <f t="shared" si="33"/>
        <v>1984</v>
      </c>
      <c r="K228">
        <v>6</v>
      </c>
      <c r="L228">
        <f t="shared" si="31"/>
        <v>3</v>
      </c>
      <c r="N228">
        <f t="shared" si="34"/>
        <v>1997</v>
      </c>
      <c r="O228">
        <v>6</v>
      </c>
      <c r="P228">
        <f t="shared" si="32"/>
        <v>4</v>
      </c>
    </row>
    <row r="229" spans="1:16" x14ac:dyDescent="0.25">
      <c r="A229" t="s">
        <v>12</v>
      </c>
      <c r="B229" s="24">
        <f ca="1">YEAR(TODAY())</f>
        <v>2022</v>
      </c>
      <c r="C229" s="24">
        <f ca="1">B229+1</f>
        <v>2023</v>
      </c>
      <c r="D229" s="24">
        <f ca="1">C229+1</f>
        <v>2024</v>
      </c>
      <c r="E229" s="24">
        <f t="shared" ref="E229:H229" ca="1" si="40">D229+1</f>
        <v>2025</v>
      </c>
      <c r="F229" s="24">
        <f t="shared" ca="1" si="40"/>
        <v>2026</v>
      </c>
      <c r="G229" s="24">
        <f t="shared" ca="1" si="40"/>
        <v>2027</v>
      </c>
      <c r="H229" s="24">
        <f t="shared" ca="1" si="40"/>
        <v>2028</v>
      </c>
      <c r="J229">
        <f t="shared" si="33"/>
        <v>1985</v>
      </c>
      <c r="K229">
        <v>7</v>
      </c>
      <c r="L229">
        <f t="shared" si="31"/>
        <v>6</v>
      </c>
      <c r="N229">
        <f t="shared" si="34"/>
        <v>1998</v>
      </c>
      <c r="O229">
        <v>7</v>
      </c>
      <c r="P229">
        <f t="shared" si="32"/>
        <v>0</v>
      </c>
    </row>
    <row r="230" spans="1:16" x14ac:dyDescent="0.25">
      <c r="A230" t="s">
        <v>228</v>
      </c>
      <c r="B230" s="24">
        <f ca="1">VLOOKUP(B229,$N$216:$P$320,2,FALSE)</f>
        <v>3</v>
      </c>
      <c r="C230" s="24">
        <f t="shared" ref="C230:H230" ca="1" si="41">VLOOKUP(C229,$N$216:$P$320,2,FALSE)</f>
        <v>4</v>
      </c>
      <c r="D230" s="24">
        <f t="shared" ca="1" si="41"/>
        <v>5</v>
      </c>
      <c r="E230" s="24">
        <f t="shared" ca="1" si="41"/>
        <v>6</v>
      </c>
      <c r="F230" s="24">
        <f t="shared" ca="1" si="41"/>
        <v>7</v>
      </c>
      <c r="G230" s="24">
        <f t="shared" ca="1" si="41"/>
        <v>1</v>
      </c>
      <c r="H230" s="24">
        <f t="shared" ca="1" si="41"/>
        <v>2</v>
      </c>
      <c r="J230">
        <f t="shared" si="33"/>
        <v>1986</v>
      </c>
      <c r="K230">
        <v>1</v>
      </c>
      <c r="L230">
        <f t="shared" si="31"/>
        <v>1</v>
      </c>
      <c r="N230">
        <f t="shared" si="34"/>
        <v>1999</v>
      </c>
      <c r="O230">
        <v>1</v>
      </c>
      <c r="P230">
        <f t="shared" si="32"/>
        <v>1</v>
      </c>
    </row>
    <row r="231" spans="1:16" x14ac:dyDescent="0.25">
      <c r="A231" t="s">
        <v>196</v>
      </c>
      <c r="B231" s="24">
        <f ca="1">VLOOKUP(B221,$N$216:$P$320,3,FALSE)</f>
        <v>1</v>
      </c>
      <c r="C231" s="24">
        <f t="shared" ref="C231:H231" ca="1" si="42">VLOOKUP(C221,$N$216:$P$320,3,FALSE)</f>
        <v>9</v>
      </c>
      <c r="D231" s="24">
        <f t="shared" ca="1" si="42"/>
        <v>5</v>
      </c>
      <c r="E231" s="24">
        <f t="shared" ca="1" si="42"/>
        <v>4</v>
      </c>
      <c r="F231" s="24">
        <f t="shared" ca="1" si="42"/>
        <v>0</v>
      </c>
      <c r="G231" s="24">
        <f t="shared" ca="1" si="42"/>
        <v>1</v>
      </c>
      <c r="H231" s="24">
        <f t="shared" ca="1" si="42"/>
        <v>1</v>
      </c>
      <c r="J231">
        <f t="shared" si="33"/>
        <v>1987</v>
      </c>
      <c r="K231">
        <v>2</v>
      </c>
      <c r="L231">
        <f t="shared" si="31"/>
        <v>1</v>
      </c>
      <c r="N231">
        <f t="shared" si="34"/>
        <v>2000</v>
      </c>
      <c r="O231">
        <v>2</v>
      </c>
      <c r="P231">
        <f t="shared" si="32"/>
        <v>1</v>
      </c>
    </row>
    <row r="232" spans="1:16" x14ac:dyDescent="0.25">
      <c r="J232">
        <f t="shared" si="33"/>
        <v>1988</v>
      </c>
      <c r="K232">
        <v>3</v>
      </c>
      <c r="L232">
        <f t="shared" si="31"/>
        <v>5</v>
      </c>
      <c r="N232">
        <f t="shared" si="34"/>
        <v>2001</v>
      </c>
      <c r="O232">
        <v>3</v>
      </c>
      <c r="P232">
        <f t="shared" si="32"/>
        <v>1</v>
      </c>
    </row>
    <row r="233" spans="1:16" x14ac:dyDescent="0.25">
      <c r="J233">
        <f t="shared" si="33"/>
        <v>1989</v>
      </c>
      <c r="K233">
        <v>4</v>
      </c>
      <c r="L233">
        <f t="shared" si="31"/>
        <v>9</v>
      </c>
      <c r="N233">
        <f t="shared" si="34"/>
        <v>2002</v>
      </c>
      <c r="O233">
        <v>4</v>
      </c>
      <c r="P233">
        <f t="shared" si="32"/>
        <v>9</v>
      </c>
    </row>
    <row r="234" spans="1:16" x14ac:dyDescent="0.25">
      <c r="J234">
        <f t="shared" si="33"/>
        <v>1990</v>
      </c>
      <c r="K234">
        <v>5</v>
      </c>
      <c r="L234">
        <f t="shared" si="31"/>
        <v>5</v>
      </c>
      <c r="N234">
        <f t="shared" si="34"/>
        <v>2003</v>
      </c>
      <c r="O234">
        <v>5</v>
      </c>
      <c r="P234">
        <f t="shared" si="32"/>
        <v>5</v>
      </c>
    </row>
    <row r="235" spans="1:16" x14ac:dyDescent="0.25">
      <c r="J235">
        <f t="shared" si="33"/>
        <v>1991</v>
      </c>
      <c r="K235">
        <v>6</v>
      </c>
      <c r="L235">
        <f t="shared" si="31"/>
        <v>3</v>
      </c>
      <c r="N235">
        <f t="shared" si="34"/>
        <v>2004</v>
      </c>
      <c r="O235">
        <v>6</v>
      </c>
      <c r="P235">
        <f t="shared" si="32"/>
        <v>4</v>
      </c>
    </row>
    <row r="236" spans="1:16" x14ac:dyDescent="0.25">
      <c r="J236">
        <f t="shared" si="33"/>
        <v>1992</v>
      </c>
      <c r="K236">
        <v>7</v>
      </c>
      <c r="L236">
        <f t="shared" si="31"/>
        <v>6</v>
      </c>
      <c r="N236">
        <f t="shared" si="34"/>
        <v>2005</v>
      </c>
      <c r="O236">
        <v>7</v>
      </c>
      <c r="P236">
        <f t="shared" si="32"/>
        <v>0</v>
      </c>
    </row>
    <row r="237" spans="1:16" x14ac:dyDescent="0.25">
      <c r="J237">
        <f t="shared" si="33"/>
        <v>1993</v>
      </c>
      <c r="K237">
        <v>1</v>
      </c>
      <c r="L237">
        <f t="shared" si="31"/>
        <v>1</v>
      </c>
      <c r="N237">
        <f t="shared" si="34"/>
        <v>2006</v>
      </c>
      <c r="O237">
        <v>1</v>
      </c>
      <c r="P237">
        <f t="shared" si="32"/>
        <v>1</v>
      </c>
    </row>
    <row r="238" spans="1:16" x14ac:dyDescent="0.25">
      <c r="J238">
        <f t="shared" si="33"/>
        <v>1994</v>
      </c>
      <c r="K238">
        <v>2</v>
      </c>
      <c r="L238">
        <f t="shared" si="31"/>
        <v>1</v>
      </c>
      <c r="N238">
        <f t="shared" si="34"/>
        <v>2007</v>
      </c>
      <c r="O238">
        <v>2</v>
      </c>
      <c r="P238">
        <f t="shared" si="32"/>
        <v>1</v>
      </c>
    </row>
    <row r="239" spans="1:16" x14ac:dyDescent="0.25">
      <c r="J239">
        <f t="shared" si="33"/>
        <v>1995</v>
      </c>
      <c r="K239">
        <v>3</v>
      </c>
      <c r="L239">
        <f t="shared" si="31"/>
        <v>5</v>
      </c>
      <c r="N239">
        <f t="shared" si="34"/>
        <v>2008</v>
      </c>
      <c r="O239">
        <v>3</v>
      </c>
      <c r="P239">
        <f t="shared" si="32"/>
        <v>1</v>
      </c>
    </row>
    <row r="240" spans="1:16" x14ac:dyDescent="0.25">
      <c r="J240">
        <f t="shared" si="33"/>
        <v>1996</v>
      </c>
      <c r="K240">
        <v>4</v>
      </c>
      <c r="L240">
        <f t="shared" si="31"/>
        <v>9</v>
      </c>
      <c r="N240">
        <f t="shared" si="34"/>
        <v>2009</v>
      </c>
      <c r="O240">
        <v>4</v>
      </c>
      <c r="P240">
        <f t="shared" si="32"/>
        <v>9</v>
      </c>
    </row>
    <row r="241" spans="10:16" x14ac:dyDescent="0.25">
      <c r="J241">
        <f t="shared" si="33"/>
        <v>1997</v>
      </c>
      <c r="K241">
        <v>5</v>
      </c>
      <c r="L241">
        <f t="shared" si="31"/>
        <v>5</v>
      </c>
      <c r="N241">
        <f t="shared" si="34"/>
        <v>2010</v>
      </c>
      <c r="O241">
        <v>5</v>
      </c>
      <c r="P241">
        <f t="shared" si="32"/>
        <v>5</v>
      </c>
    </row>
    <row r="242" spans="10:16" x14ac:dyDescent="0.25">
      <c r="J242">
        <f t="shared" si="33"/>
        <v>1998</v>
      </c>
      <c r="K242">
        <v>6</v>
      </c>
      <c r="L242">
        <f t="shared" si="31"/>
        <v>3</v>
      </c>
      <c r="N242">
        <f t="shared" si="34"/>
        <v>2011</v>
      </c>
      <c r="O242">
        <v>6</v>
      </c>
      <c r="P242">
        <f t="shared" si="32"/>
        <v>4</v>
      </c>
    </row>
    <row r="243" spans="10:16" x14ac:dyDescent="0.25">
      <c r="J243">
        <f t="shared" si="33"/>
        <v>1999</v>
      </c>
      <c r="K243">
        <v>7</v>
      </c>
      <c r="L243">
        <f t="shared" si="31"/>
        <v>6</v>
      </c>
      <c r="N243">
        <f t="shared" si="34"/>
        <v>2012</v>
      </c>
      <c r="O243">
        <v>7</v>
      </c>
      <c r="P243">
        <f t="shared" si="32"/>
        <v>0</v>
      </c>
    </row>
    <row r="244" spans="10:16" x14ac:dyDescent="0.25">
      <c r="J244">
        <f t="shared" si="33"/>
        <v>2000</v>
      </c>
      <c r="K244">
        <v>1</v>
      </c>
      <c r="L244">
        <f t="shared" si="31"/>
        <v>1</v>
      </c>
      <c r="N244">
        <f t="shared" si="34"/>
        <v>2013</v>
      </c>
      <c r="O244">
        <v>1</v>
      </c>
      <c r="P244">
        <f t="shared" si="32"/>
        <v>1</v>
      </c>
    </row>
    <row r="245" spans="10:16" x14ac:dyDescent="0.25">
      <c r="J245">
        <f t="shared" si="33"/>
        <v>2001</v>
      </c>
      <c r="K245">
        <v>2</v>
      </c>
      <c r="L245">
        <f t="shared" si="31"/>
        <v>1</v>
      </c>
      <c r="N245">
        <f t="shared" si="34"/>
        <v>2014</v>
      </c>
      <c r="O245">
        <v>2</v>
      </c>
      <c r="P245">
        <f t="shared" si="32"/>
        <v>1</v>
      </c>
    </row>
    <row r="246" spans="10:16" x14ac:dyDescent="0.25">
      <c r="J246">
        <f t="shared" si="33"/>
        <v>2002</v>
      </c>
      <c r="K246">
        <v>3</v>
      </c>
      <c r="L246">
        <f t="shared" si="31"/>
        <v>5</v>
      </c>
      <c r="N246">
        <f t="shared" si="34"/>
        <v>2015</v>
      </c>
      <c r="O246">
        <v>3</v>
      </c>
      <c r="P246">
        <f t="shared" si="32"/>
        <v>1</v>
      </c>
    </row>
    <row r="247" spans="10:16" x14ac:dyDescent="0.25">
      <c r="J247">
        <f t="shared" si="33"/>
        <v>2003</v>
      </c>
      <c r="K247">
        <v>4</v>
      </c>
      <c r="L247">
        <f t="shared" si="31"/>
        <v>9</v>
      </c>
      <c r="N247">
        <f t="shared" si="34"/>
        <v>2016</v>
      </c>
      <c r="O247">
        <v>4</v>
      </c>
      <c r="P247">
        <f t="shared" si="32"/>
        <v>9</v>
      </c>
    </row>
    <row r="248" spans="10:16" x14ac:dyDescent="0.25">
      <c r="J248">
        <f t="shared" si="33"/>
        <v>2004</v>
      </c>
      <c r="K248">
        <v>5</v>
      </c>
      <c r="L248">
        <f t="shared" si="31"/>
        <v>5</v>
      </c>
      <c r="N248">
        <f t="shared" si="34"/>
        <v>2017</v>
      </c>
      <c r="O248">
        <v>5</v>
      </c>
      <c r="P248">
        <f t="shared" si="32"/>
        <v>5</v>
      </c>
    </row>
    <row r="249" spans="10:16" x14ac:dyDescent="0.25">
      <c r="J249">
        <f t="shared" si="33"/>
        <v>2005</v>
      </c>
      <c r="K249">
        <v>6</v>
      </c>
      <c r="L249">
        <f t="shared" si="31"/>
        <v>3</v>
      </c>
      <c r="N249">
        <f t="shared" si="34"/>
        <v>2018</v>
      </c>
      <c r="O249">
        <v>6</v>
      </c>
      <c r="P249">
        <f t="shared" si="32"/>
        <v>4</v>
      </c>
    </row>
    <row r="250" spans="10:16" x14ac:dyDescent="0.25">
      <c r="J250">
        <f t="shared" si="33"/>
        <v>2006</v>
      </c>
      <c r="K250">
        <v>7</v>
      </c>
      <c r="L250">
        <f t="shared" si="31"/>
        <v>6</v>
      </c>
      <c r="N250">
        <f t="shared" si="34"/>
        <v>2019</v>
      </c>
      <c r="O250">
        <v>7</v>
      </c>
      <c r="P250">
        <f t="shared" si="32"/>
        <v>0</v>
      </c>
    </row>
    <row r="251" spans="10:16" x14ac:dyDescent="0.25">
      <c r="J251">
        <f t="shared" si="33"/>
        <v>2007</v>
      </c>
      <c r="K251">
        <v>1</v>
      </c>
      <c r="L251">
        <f t="shared" si="31"/>
        <v>1</v>
      </c>
      <c r="N251">
        <f t="shared" si="34"/>
        <v>2020</v>
      </c>
      <c r="O251">
        <v>1</v>
      </c>
      <c r="P251">
        <f t="shared" si="32"/>
        <v>1</v>
      </c>
    </row>
    <row r="252" spans="10:16" x14ac:dyDescent="0.25">
      <c r="J252">
        <f t="shared" si="33"/>
        <v>2008</v>
      </c>
      <c r="K252">
        <v>2</v>
      </c>
      <c r="L252">
        <f t="shared" si="31"/>
        <v>1</v>
      </c>
      <c r="N252">
        <f t="shared" si="34"/>
        <v>2021</v>
      </c>
      <c r="O252">
        <v>2</v>
      </c>
      <c r="P252">
        <f t="shared" si="32"/>
        <v>1</v>
      </c>
    </row>
    <row r="253" spans="10:16" x14ac:dyDescent="0.25">
      <c r="J253">
        <f t="shared" si="33"/>
        <v>2009</v>
      </c>
      <c r="K253">
        <v>3</v>
      </c>
      <c r="L253">
        <f t="shared" si="31"/>
        <v>5</v>
      </c>
      <c r="N253">
        <f t="shared" si="34"/>
        <v>2022</v>
      </c>
      <c r="O253">
        <v>3</v>
      </c>
      <c r="P253">
        <f t="shared" si="32"/>
        <v>1</v>
      </c>
    </row>
    <row r="254" spans="10:16" x14ac:dyDescent="0.25">
      <c r="J254">
        <f t="shared" si="33"/>
        <v>2010</v>
      </c>
      <c r="K254">
        <v>4</v>
      </c>
      <c r="L254">
        <f t="shared" si="31"/>
        <v>9</v>
      </c>
      <c r="N254">
        <f t="shared" si="34"/>
        <v>2023</v>
      </c>
      <c r="O254">
        <v>4</v>
      </c>
      <c r="P254">
        <f t="shared" si="32"/>
        <v>9</v>
      </c>
    </row>
    <row r="255" spans="10:16" x14ac:dyDescent="0.25">
      <c r="J255">
        <f t="shared" si="33"/>
        <v>2011</v>
      </c>
      <c r="K255">
        <v>5</v>
      </c>
      <c r="L255">
        <f t="shared" si="31"/>
        <v>5</v>
      </c>
      <c r="N255">
        <f t="shared" si="34"/>
        <v>2024</v>
      </c>
      <c r="O255">
        <v>5</v>
      </c>
      <c r="P255">
        <f t="shared" si="32"/>
        <v>5</v>
      </c>
    </row>
    <row r="256" spans="10:16" x14ac:dyDescent="0.25">
      <c r="J256">
        <f t="shared" si="33"/>
        <v>2012</v>
      </c>
      <c r="K256">
        <v>6</v>
      </c>
      <c r="L256">
        <f t="shared" si="31"/>
        <v>3</v>
      </c>
      <c r="N256">
        <f t="shared" si="34"/>
        <v>2025</v>
      </c>
      <c r="O256">
        <v>6</v>
      </c>
      <c r="P256">
        <f t="shared" si="32"/>
        <v>4</v>
      </c>
    </row>
    <row r="257" spans="10:16" x14ac:dyDescent="0.25">
      <c r="J257">
        <f t="shared" si="33"/>
        <v>2013</v>
      </c>
      <c r="K257">
        <v>7</v>
      </c>
      <c r="L257">
        <f t="shared" si="31"/>
        <v>6</v>
      </c>
      <c r="N257">
        <f t="shared" si="34"/>
        <v>2026</v>
      </c>
      <c r="O257">
        <v>7</v>
      </c>
      <c r="P257">
        <f t="shared" si="32"/>
        <v>0</v>
      </c>
    </row>
    <row r="258" spans="10:16" x14ac:dyDescent="0.25">
      <c r="J258">
        <f t="shared" si="33"/>
        <v>2014</v>
      </c>
      <c r="K258">
        <v>1</v>
      </c>
      <c r="L258">
        <f t="shared" si="31"/>
        <v>1</v>
      </c>
      <c r="N258">
        <f t="shared" si="34"/>
        <v>2027</v>
      </c>
      <c r="O258">
        <v>1</v>
      </c>
      <c r="P258">
        <f t="shared" si="32"/>
        <v>1</v>
      </c>
    </row>
    <row r="259" spans="10:16" x14ac:dyDescent="0.25">
      <c r="J259">
        <f t="shared" si="33"/>
        <v>2015</v>
      </c>
      <c r="K259">
        <v>2</v>
      </c>
      <c r="L259">
        <f t="shared" si="31"/>
        <v>1</v>
      </c>
      <c r="N259">
        <f t="shared" si="34"/>
        <v>2028</v>
      </c>
      <c r="O259">
        <v>2</v>
      </c>
      <c r="P259">
        <f t="shared" si="32"/>
        <v>1</v>
      </c>
    </row>
    <row r="260" spans="10:16" x14ac:dyDescent="0.25">
      <c r="J260">
        <f t="shared" si="33"/>
        <v>2016</v>
      </c>
      <c r="K260">
        <v>3</v>
      </c>
      <c r="L260">
        <f t="shared" si="31"/>
        <v>5</v>
      </c>
      <c r="N260">
        <f t="shared" si="34"/>
        <v>2029</v>
      </c>
      <c r="O260">
        <v>3</v>
      </c>
      <c r="P260">
        <f t="shared" si="32"/>
        <v>1</v>
      </c>
    </row>
    <row r="261" spans="10:16" x14ac:dyDescent="0.25">
      <c r="J261">
        <f t="shared" si="33"/>
        <v>2017</v>
      </c>
      <c r="K261">
        <v>4</v>
      </c>
      <c r="L261">
        <f t="shared" si="31"/>
        <v>9</v>
      </c>
      <c r="N261">
        <f t="shared" si="34"/>
        <v>2030</v>
      </c>
      <c r="O261">
        <v>4</v>
      </c>
      <c r="P261">
        <f t="shared" si="32"/>
        <v>9</v>
      </c>
    </row>
    <row r="262" spans="10:16" x14ac:dyDescent="0.25">
      <c r="J262">
        <f t="shared" si="33"/>
        <v>2018</v>
      </c>
      <c r="K262">
        <v>5</v>
      </c>
      <c r="L262">
        <f t="shared" si="31"/>
        <v>5</v>
      </c>
      <c r="N262">
        <f t="shared" si="34"/>
        <v>2031</v>
      </c>
      <c r="O262">
        <v>5</v>
      </c>
      <c r="P262">
        <f t="shared" si="32"/>
        <v>5</v>
      </c>
    </row>
    <row r="263" spans="10:16" x14ac:dyDescent="0.25">
      <c r="J263">
        <f t="shared" si="33"/>
        <v>2019</v>
      </c>
      <c r="K263">
        <v>6</v>
      </c>
      <c r="L263">
        <f t="shared" si="31"/>
        <v>3</v>
      </c>
      <c r="N263">
        <f t="shared" si="34"/>
        <v>2032</v>
      </c>
      <c r="O263">
        <v>6</v>
      </c>
      <c r="P263">
        <f t="shared" si="32"/>
        <v>4</v>
      </c>
    </row>
    <row r="264" spans="10:16" x14ac:dyDescent="0.25">
      <c r="J264">
        <f t="shared" si="33"/>
        <v>2020</v>
      </c>
      <c r="K264">
        <v>7</v>
      </c>
      <c r="L264">
        <f t="shared" si="31"/>
        <v>6</v>
      </c>
      <c r="N264">
        <f t="shared" si="34"/>
        <v>2033</v>
      </c>
      <c r="O264">
        <v>7</v>
      </c>
      <c r="P264">
        <f t="shared" si="32"/>
        <v>0</v>
      </c>
    </row>
    <row r="265" spans="10:16" x14ac:dyDescent="0.25">
      <c r="J265">
        <f t="shared" si="33"/>
        <v>2021</v>
      </c>
      <c r="K265">
        <v>1</v>
      </c>
      <c r="L265">
        <f t="shared" si="31"/>
        <v>1</v>
      </c>
      <c r="N265">
        <f t="shared" si="34"/>
        <v>2034</v>
      </c>
      <c r="O265">
        <v>1</v>
      </c>
      <c r="P265">
        <f t="shared" si="32"/>
        <v>1</v>
      </c>
    </row>
    <row r="266" spans="10:16" x14ac:dyDescent="0.25">
      <c r="J266">
        <f t="shared" si="33"/>
        <v>2022</v>
      </c>
      <c r="K266">
        <v>2</v>
      </c>
      <c r="L266">
        <f t="shared" si="31"/>
        <v>1</v>
      </c>
      <c r="N266">
        <f t="shared" si="34"/>
        <v>2035</v>
      </c>
      <c r="O266">
        <v>2</v>
      </c>
      <c r="P266">
        <f t="shared" si="32"/>
        <v>1</v>
      </c>
    </row>
    <row r="267" spans="10:16" x14ac:dyDescent="0.25">
      <c r="J267">
        <f t="shared" si="33"/>
        <v>2023</v>
      </c>
      <c r="K267">
        <v>3</v>
      </c>
      <c r="L267">
        <f t="shared" si="31"/>
        <v>5</v>
      </c>
      <c r="N267">
        <f t="shared" si="34"/>
        <v>2036</v>
      </c>
      <c r="O267">
        <v>3</v>
      </c>
      <c r="P267">
        <f t="shared" si="32"/>
        <v>1</v>
      </c>
    </row>
    <row r="268" spans="10:16" x14ac:dyDescent="0.25">
      <c r="J268">
        <f t="shared" si="33"/>
        <v>2024</v>
      </c>
      <c r="K268">
        <v>4</v>
      </c>
      <c r="L268">
        <f t="shared" si="31"/>
        <v>9</v>
      </c>
      <c r="N268">
        <f t="shared" si="34"/>
        <v>2037</v>
      </c>
      <c r="O268">
        <v>4</v>
      </c>
      <c r="P268">
        <f t="shared" si="32"/>
        <v>9</v>
      </c>
    </row>
    <row r="269" spans="10:16" x14ac:dyDescent="0.25">
      <c r="J269">
        <f t="shared" si="33"/>
        <v>2025</v>
      </c>
      <c r="K269">
        <v>5</v>
      </c>
      <c r="L269">
        <f t="shared" si="31"/>
        <v>5</v>
      </c>
      <c r="N269">
        <f t="shared" si="34"/>
        <v>2038</v>
      </c>
      <c r="O269">
        <v>5</v>
      </c>
      <c r="P269">
        <f t="shared" si="32"/>
        <v>5</v>
      </c>
    </row>
    <row r="270" spans="10:16" x14ac:dyDescent="0.25">
      <c r="J270">
        <f t="shared" si="33"/>
        <v>2026</v>
      </c>
      <c r="K270">
        <v>6</v>
      </c>
      <c r="L270">
        <f t="shared" si="31"/>
        <v>3</v>
      </c>
      <c r="N270">
        <f t="shared" si="34"/>
        <v>2039</v>
      </c>
      <c r="O270">
        <v>6</v>
      </c>
      <c r="P270">
        <f t="shared" si="32"/>
        <v>4</v>
      </c>
    </row>
    <row r="271" spans="10:16" x14ac:dyDescent="0.25">
      <c r="J271">
        <f t="shared" si="33"/>
        <v>2027</v>
      </c>
      <c r="K271">
        <v>7</v>
      </c>
      <c r="L271">
        <f t="shared" si="31"/>
        <v>6</v>
      </c>
      <c r="N271">
        <f t="shared" si="34"/>
        <v>2040</v>
      </c>
      <c r="O271">
        <v>7</v>
      </c>
      <c r="P271">
        <f t="shared" si="32"/>
        <v>0</v>
      </c>
    </row>
    <row r="272" spans="10:16" x14ac:dyDescent="0.25">
      <c r="J272">
        <f t="shared" si="33"/>
        <v>2028</v>
      </c>
      <c r="K272">
        <v>1</v>
      </c>
      <c r="L272">
        <f t="shared" si="31"/>
        <v>1</v>
      </c>
      <c r="N272">
        <f t="shared" si="34"/>
        <v>2041</v>
      </c>
      <c r="O272">
        <v>1</v>
      </c>
      <c r="P272">
        <f t="shared" si="32"/>
        <v>1</v>
      </c>
    </row>
    <row r="273" spans="10:16" x14ac:dyDescent="0.25">
      <c r="J273">
        <f t="shared" si="33"/>
        <v>2029</v>
      </c>
      <c r="K273">
        <v>2</v>
      </c>
      <c r="L273">
        <f t="shared" si="31"/>
        <v>1</v>
      </c>
      <c r="N273">
        <f t="shared" si="34"/>
        <v>2042</v>
      </c>
      <c r="O273">
        <v>2</v>
      </c>
      <c r="P273">
        <f t="shared" si="32"/>
        <v>1</v>
      </c>
    </row>
    <row r="274" spans="10:16" x14ac:dyDescent="0.25">
      <c r="J274">
        <f t="shared" si="33"/>
        <v>2030</v>
      </c>
      <c r="K274">
        <v>3</v>
      </c>
      <c r="L274">
        <f t="shared" si="31"/>
        <v>5</v>
      </c>
      <c r="N274">
        <f t="shared" si="34"/>
        <v>2043</v>
      </c>
      <c r="O274">
        <v>3</v>
      </c>
      <c r="P274">
        <f t="shared" si="32"/>
        <v>1</v>
      </c>
    </row>
    <row r="275" spans="10:16" x14ac:dyDescent="0.25">
      <c r="J275">
        <f t="shared" si="33"/>
        <v>2031</v>
      </c>
      <c r="K275">
        <v>4</v>
      </c>
      <c r="L275">
        <f t="shared" si="31"/>
        <v>9</v>
      </c>
      <c r="N275">
        <f t="shared" si="34"/>
        <v>2044</v>
      </c>
      <c r="O275">
        <v>4</v>
      </c>
      <c r="P275">
        <f t="shared" si="32"/>
        <v>9</v>
      </c>
    </row>
    <row r="276" spans="10:16" x14ac:dyDescent="0.25">
      <c r="J276">
        <f t="shared" si="33"/>
        <v>2032</v>
      </c>
      <c r="K276">
        <v>5</v>
      </c>
      <c r="L276">
        <f t="shared" si="31"/>
        <v>5</v>
      </c>
      <c r="N276">
        <f t="shared" si="34"/>
        <v>2045</v>
      </c>
      <c r="O276">
        <v>5</v>
      </c>
      <c r="P276">
        <f t="shared" si="32"/>
        <v>5</v>
      </c>
    </row>
    <row r="277" spans="10:16" x14ac:dyDescent="0.25">
      <c r="J277">
        <f t="shared" si="33"/>
        <v>2033</v>
      </c>
      <c r="K277">
        <v>6</v>
      </c>
      <c r="L277">
        <f t="shared" si="31"/>
        <v>3</v>
      </c>
      <c r="N277">
        <f t="shared" si="34"/>
        <v>2046</v>
      </c>
      <c r="O277">
        <v>6</v>
      </c>
      <c r="P277">
        <f t="shared" si="32"/>
        <v>4</v>
      </c>
    </row>
    <row r="278" spans="10:16" x14ac:dyDescent="0.25">
      <c r="J278">
        <f t="shared" si="33"/>
        <v>2034</v>
      </c>
      <c r="K278">
        <v>7</v>
      </c>
      <c r="L278">
        <f t="shared" si="31"/>
        <v>6</v>
      </c>
      <c r="N278">
        <f t="shared" si="34"/>
        <v>2047</v>
      </c>
      <c r="O278">
        <v>7</v>
      </c>
      <c r="P278">
        <f t="shared" si="32"/>
        <v>0</v>
      </c>
    </row>
    <row r="279" spans="10:16" x14ac:dyDescent="0.25">
      <c r="J279">
        <f t="shared" si="33"/>
        <v>2035</v>
      </c>
      <c r="K279">
        <v>1</v>
      </c>
      <c r="L279">
        <f t="shared" si="31"/>
        <v>1</v>
      </c>
      <c r="N279">
        <f t="shared" si="34"/>
        <v>2048</v>
      </c>
      <c r="O279">
        <v>1</v>
      </c>
      <c r="P279">
        <f t="shared" si="32"/>
        <v>1</v>
      </c>
    </row>
    <row r="280" spans="10:16" x14ac:dyDescent="0.25">
      <c r="J280">
        <f t="shared" si="33"/>
        <v>2036</v>
      </c>
      <c r="K280">
        <v>2</v>
      </c>
      <c r="L280">
        <f t="shared" si="31"/>
        <v>1</v>
      </c>
      <c r="N280">
        <f t="shared" si="34"/>
        <v>2049</v>
      </c>
      <c r="O280">
        <v>2</v>
      </c>
      <c r="P280">
        <f t="shared" si="32"/>
        <v>1</v>
      </c>
    </row>
    <row r="281" spans="10:16" x14ac:dyDescent="0.25">
      <c r="J281">
        <f t="shared" si="33"/>
        <v>2037</v>
      </c>
      <c r="K281">
        <v>3</v>
      </c>
      <c r="L281">
        <f t="shared" ref="L281:L320" si="43">VALUE(MID($G$216,K281,1))</f>
        <v>5</v>
      </c>
      <c r="N281">
        <f t="shared" si="34"/>
        <v>2050</v>
      </c>
      <c r="O281">
        <v>3</v>
      </c>
      <c r="P281">
        <f t="shared" ref="P281:P320" si="44">VALUE(MID($G$225,O281,1))</f>
        <v>1</v>
      </c>
    </row>
    <row r="282" spans="10:16" x14ac:dyDescent="0.25">
      <c r="J282">
        <f t="shared" ref="J282:J292" si="45">J281+1</f>
        <v>2038</v>
      </c>
      <c r="K282">
        <v>4</v>
      </c>
      <c r="L282">
        <f t="shared" si="43"/>
        <v>9</v>
      </c>
      <c r="N282">
        <f t="shared" ref="N282:N320" si="46">N281+1</f>
        <v>2051</v>
      </c>
      <c r="O282">
        <v>4</v>
      </c>
      <c r="P282">
        <f t="shared" si="44"/>
        <v>9</v>
      </c>
    </row>
    <row r="283" spans="10:16" x14ac:dyDescent="0.25">
      <c r="J283">
        <f t="shared" si="45"/>
        <v>2039</v>
      </c>
      <c r="K283">
        <v>5</v>
      </c>
      <c r="L283">
        <f t="shared" si="43"/>
        <v>5</v>
      </c>
      <c r="N283">
        <f t="shared" si="46"/>
        <v>2052</v>
      </c>
      <c r="O283">
        <v>5</v>
      </c>
      <c r="P283">
        <f t="shared" si="44"/>
        <v>5</v>
      </c>
    </row>
    <row r="284" spans="10:16" x14ac:dyDescent="0.25">
      <c r="J284">
        <f t="shared" si="45"/>
        <v>2040</v>
      </c>
      <c r="K284">
        <v>6</v>
      </c>
      <c r="L284">
        <f t="shared" si="43"/>
        <v>3</v>
      </c>
      <c r="N284">
        <f t="shared" si="46"/>
        <v>2053</v>
      </c>
      <c r="O284">
        <v>6</v>
      </c>
      <c r="P284">
        <f t="shared" si="44"/>
        <v>4</v>
      </c>
    </row>
    <row r="285" spans="10:16" x14ac:dyDescent="0.25">
      <c r="J285">
        <f t="shared" si="45"/>
        <v>2041</v>
      </c>
      <c r="K285">
        <v>7</v>
      </c>
      <c r="L285">
        <f t="shared" si="43"/>
        <v>6</v>
      </c>
      <c r="N285">
        <f t="shared" si="46"/>
        <v>2054</v>
      </c>
      <c r="O285">
        <v>7</v>
      </c>
      <c r="P285">
        <f t="shared" si="44"/>
        <v>0</v>
      </c>
    </row>
    <row r="286" spans="10:16" x14ac:dyDescent="0.25">
      <c r="J286">
        <f t="shared" si="45"/>
        <v>2042</v>
      </c>
      <c r="K286">
        <v>1</v>
      </c>
      <c r="L286">
        <f t="shared" si="43"/>
        <v>1</v>
      </c>
      <c r="N286">
        <f t="shared" si="46"/>
        <v>2055</v>
      </c>
      <c r="O286">
        <v>1</v>
      </c>
      <c r="P286">
        <f t="shared" si="44"/>
        <v>1</v>
      </c>
    </row>
    <row r="287" spans="10:16" x14ac:dyDescent="0.25">
      <c r="J287">
        <f t="shared" si="45"/>
        <v>2043</v>
      </c>
      <c r="K287">
        <v>2</v>
      </c>
      <c r="L287">
        <f t="shared" si="43"/>
        <v>1</v>
      </c>
      <c r="N287">
        <f t="shared" si="46"/>
        <v>2056</v>
      </c>
      <c r="O287">
        <v>2</v>
      </c>
      <c r="P287">
        <f t="shared" si="44"/>
        <v>1</v>
      </c>
    </row>
    <row r="288" spans="10:16" x14ac:dyDescent="0.25">
      <c r="J288">
        <f t="shared" si="45"/>
        <v>2044</v>
      </c>
      <c r="K288">
        <v>3</v>
      </c>
      <c r="L288">
        <f t="shared" si="43"/>
        <v>5</v>
      </c>
      <c r="N288">
        <f t="shared" si="46"/>
        <v>2057</v>
      </c>
      <c r="O288">
        <v>3</v>
      </c>
      <c r="P288">
        <f t="shared" si="44"/>
        <v>1</v>
      </c>
    </row>
    <row r="289" spans="10:16" x14ac:dyDescent="0.25">
      <c r="J289">
        <f t="shared" si="45"/>
        <v>2045</v>
      </c>
      <c r="K289">
        <v>4</v>
      </c>
      <c r="L289">
        <f t="shared" si="43"/>
        <v>9</v>
      </c>
      <c r="N289">
        <f t="shared" si="46"/>
        <v>2058</v>
      </c>
      <c r="O289">
        <v>4</v>
      </c>
      <c r="P289">
        <f t="shared" si="44"/>
        <v>9</v>
      </c>
    </row>
    <row r="290" spans="10:16" x14ac:dyDescent="0.25">
      <c r="J290">
        <f t="shared" si="45"/>
        <v>2046</v>
      </c>
      <c r="K290">
        <v>5</v>
      </c>
      <c r="L290">
        <f t="shared" si="43"/>
        <v>5</v>
      </c>
      <c r="N290">
        <f t="shared" si="46"/>
        <v>2059</v>
      </c>
      <c r="O290">
        <v>5</v>
      </c>
      <c r="P290">
        <f t="shared" si="44"/>
        <v>5</v>
      </c>
    </row>
    <row r="291" spans="10:16" x14ac:dyDescent="0.25">
      <c r="J291">
        <f t="shared" si="45"/>
        <v>2047</v>
      </c>
      <c r="K291">
        <v>6</v>
      </c>
      <c r="L291">
        <f t="shared" si="43"/>
        <v>3</v>
      </c>
      <c r="N291">
        <f t="shared" si="46"/>
        <v>2060</v>
      </c>
      <c r="O291">
        <v>6</v>
      </c>
      <c r="P291">
        <f t="shared" si="44"/>
        <v>4</v>
      </c>
    </row>
    <row r="292" spans="10:16" x14ac:dyDescent="0.25">
      <c r="J292">
        <f t="shared" si="45"/>
        <v>2048</v>
      </c>
      <c r="K292">
        <v>7</v>
      </c>
      <c r="L292">
        <f t="shared" si="43"/>
        <v>6</v>
      </c>
      <c r="N292">
        <f t="shared" si="46"/>
        <v>2061</v>
      </c>
      <c r="O292">
        <v>7</v>
      </c>
      <c r="P292">
        <f t="shared" si="44"/>
        <v>0</v>
      </c>
    </row>
    <row r="293" spans="10:16" x14ac:dyDescent="0.25">
      <c r="J293">
        <f t="shared" ref="J293:J320" si="47">J292+1</f>
        <v>2049</v>
      </c>
      <c r="K293">
        <v>1</v>
      </c>
      <c r="L293">
        <f t="shared" si="43"/>
        <v>1</v>
      </c>
      <c r="N293">
        <f t="shared" si="46"/>
        <v>2062</v>
      </c>
      <c r="O293">
        <v>1</v>
      </c>
      <c r="P293">
        <f t="shared" si="44"/>
        <v>1</v>
      </c>
    </row>
    <row r="294" spans="10:16" x14ac:dyDescent="0.25">
      <c r="J294">
        <f t="shared" si="47"/>
        <v>2050</v>
      </c>
      <c r="K294">
        <v>2</v>
      </c>
      <c r="L294">
        <f t="shared" si="43"/>
        <v>1</v>
      </c>
      <c r="N294">
        <f t="shared" si="46"/>
        <v>2063</v>
      </c>
      <c r="O294">
        <v>2</v>
      </c>
      <c r="P294">
        <f t="shared" si="44"/>
        <v>1</v>
      </c>
    </row>
    <row r="295" spans="10:16" x14ac:dyDescent="0.25">
      <c r="J295">
        <f t="shared" si="47"/>
        <v>2051</v>
      </c>
      <c r="K295">
        <v>3</v>
      </c>
      <c r="L295">
        <f t="shared" si="43"/>
        <v>5</v>
      </c>
      <c r="N295">
        <f t="shared" si="46"/>
        <v>2064</v>
      </c>
      <c r="O295">
        <v>3</v>
      </c>
      <c r="P295">
        <f t="shared" si="44"/>
        <v>1</v>
      </c>
    </row>
    <row r="296" spans="10:16" x14ac:dyDescent="0.25">
      <c r="J296">
        <f t="shared" si="47"/>
        <v>2052</v>
      </c>
      <c r="K296">
        <v>4</v>
      </c>
      <c r="L296">
        <f t="shared" si="43"/>
        <v>9</v>
      </c>
      <c r="N296">
        <f t="shared" si="46"/>
        <v>2065</v>
      </c>
      <c r="O296">
        <v>4</v>
      </c>
      <c r="P296">
        <f t="shared" si="44"/>
        <v>9</v>
      </c>
    </row>
    <row r="297" spans="10:16" x14ac:dyDescent="0.25">
      <c r="J297">
        <f t="shared" si="47"/>
        <v>2053</v>
      </c>
      <c r="K297">
        <v>5</v>
      </c>
      <c r="L297">
        <f t="shared" si="43"/>
        <v>5</v>
      </c>
      <c r="N297">
        <f t="shared" si="46"/>
        <v>2066</v>
      </c>
      <c r="O297">
        <v>5</v>
      </c>
      <c r="P297">
        <f t="shared" si="44"/>
        <v>5</v>
      </c>
    </row>
    <row r="298" spans="10:16" x14ac:dyDescent="0.25">
      <c r="J298">
        <f t="shared" si="47"/>
        <v>2054</v>
      </c>
      <c r="K298">
        <v>6</v>
      </c>
      <c r="L298">
        <f t="shared" si="43"/>
        <v>3</v>
      </c>
      <c r="N298">
        <f t="shared" si="46"/>
        <v>2067</v>
      </c>
      <c r="O298">
        <v>6</v>
      </c>
      <c r="P298">
        <f t="shared" si="44"/>
        <v>4</v>
      </c>
    </row>
    <row r="299" spans="10:16" x14ac:dyDescent="0.25">
      <c r="J299">
        <f t="shared" si="47"/>
        <v>2055</v>
      </c>
      <c r="K299">
        <v>7</v>
      </c>
      <c r="L299">
        <f t="shared" si="43"/>
        <v>6</v>
      </c>
      <c r="N299">
        <f t="shared" si="46"/>
        <v>2068</v>
      </c>
      <c r="O299">
        <v>7</v>
      </c>
      <c r="P299">
        <f t="shared" si="44"/>
        <v>0</v>
      </c>
    </row>
    <row r="300" spans="10:16" x14ac:dyDescent="0.25">
      <c r="J300">
        <f t="shared" si="47"/>
        <v>2056</v>
      </c>
      <c r="K300">
        <v>1</v>
      </c>
      <c r="L300">
        <f t="shared" si="43"/>
        <v>1</v>
      </c>
      <c r="N300">
        <f t="shared" si="46"/>
        <v>2069</v>
      </c>
      <c r="O300">
        <v>1</v>
      </c>
      <c r="P300">
        <f t="shared" si="44"/>
        <v>1</v>
      </c>
    </row>
    <row r="301" spans="10:16" x14ac:dyDescent="0.25">
      <c r="J301">
        <f t="shared" si="47"/>
        <v>2057</v>
      </c>
      <c r="K301">
        <v>2</v>
      </c>
      <c r="L301">
        <f t="shared" si="43"/>
        <v>1</v>
      </c>
      <c r="N301">
        <f t="shared" si="46"/>
        <v>2070</v>
      </c>
      <c r="O301">
        <v>2</v>
      </c>
      <c r="P301">
        <f t="shared" si="44"/>
        <v>1</v>
      </c>
    </row>
    <row r="302" spans="10:16" x14ac:dyDescent="0.25">
      <c r="J302">
        <f t="shared" si="47"/>
        <v>2058</v>
      </c>
      <c r="K302">
        <v>3</v>
      </c>
      <c r="L302">
        <f t="shared" si="43"/>
        <v>5</v>
      </c>
      <c r="N302">
        <f t="shared" si="46"/>
        <v>2071</v>
      </c>
      <c r="O302">
        <v>3</v>
      </c>
      <c r="P302">
        <f t="shared" si="44"/>
        <v>1</v>
      </c>
    </row>
    <row r="303" spans="10:16" x14ac:dyDescent="0.25">
      <c r="J303">
        <f t="shared" si="47"/>
        <v>2059</v>
      </c>
      <c r="K303">
        <v>4</v>
      </c>
      <c r="L303">
        <f t="shared" si="43"/>
        <v>9</v>
      </c>
      <c r="N303">
        <f t="shared" si="46"/>
        <v>2072</v>
      </c>
      <c r="O303">
        <v>4</v>
      </c>
      <c r="P303">
        <f t="shared" si="44"/>
        <v>9</v>
      </c>
    </row>
    <row r="304" spans="10:16" x14ac:dyDescent="0.25">
      <c r="J304">
        <f t="shared" si="47"/>
        <v>2060</v>
      </c>
      <c r="K304">
        <v>5</v>
      </c>
      <c r="L304">
        <f t="shared" si="43"/>
        <v>5</v>
      </c>
      <c r="N304">
        <f t="shared" si="46"/>
        <v>2073</v>
      </c>
      <c r="O304">
        <v>5</v>
      </c>
      <c r="P304">
        <f t="shared" si="44"/>
        <v>5</v>
      </c>
    </row>
    <row r="305" spans="10:16" x14ac:dyDescent="0.25">
      <c r="J305">
        <f t="shared" si="47"/>
        <v>2061</v>
      </c>
      <c r="K305">
        <v>6</v>
      </c>
      <c r="L305">
        <f t="shared" si="43"/>
        <v>3</v>
      </c>
      <c r="N305">
        <f t="shared" si="46"/>
        <v>2074</v>
      </c>
      <c r="O305">
        <v>6</v>
      </c>
      <c r="P305">
        <f t="shared" si="44"/>
        <v>4</v>
      </c>
    </row>
    <row r="306" spans="10:16" x14ac:dyDescent="0.25">
      <c r="J306">
        <f t="shared" si="47"/>
        <v>2062</v>
      </c>
      <c r="K306">
        <v>7</v>
      </c>
      <c r="L306">
        <f t="shared" si="43"/>
        <v>6</v>
      </c>
      <c r="N306">
        <f t="shared" si="46"/>
        <v>2075</v>
      </c>
      <c r="O306">
        <v>7</v>
      </c>
      <c r="P306">
        <f t="shared" si="44"/>
        <v>0</v>
      </c>
    </row>
    <row r="307" spans="10:16" x14ac:dyDescent="0.25">
      <c r="J307">
        <f t="shared" si="47"/>
        <v>2063</v>
      </c>
      <c r="K307">
        <v>1</v>
      </c>
      <c r="L307">
        <f t="shared" si="43"/>
        <v>1</v>
      </c>
      <c r="N307">
        <f t="shared" si="46"/>
        <v>2076</v>
      </c>
      <c r="O307">
        <v>1</v>
      </c>
      <c r="P307">
        <f t="shared" si="44"/>
        <v>1</v>
      </c>
    </row>
    <row r="308" spans="10:16" x14ac:dyDescent="0.25">
      <c r="J308">
        <f t="shared" si="47"/>
        <v>2064</v>
      </c>
      <c r="K308">
        <v>2</v>
      </c>
      <c r="L308">
        <f t="shared" si="43"/>
        <v>1</v>
      </c>
      <c r="N308">
        <f t="shared" si="46"/>
        <v>2077</v>
      </c>
      <c r="O308">
        <v>2</v>
      </c>
      <c r="P308">
        <f t="shared" si="44"/>
        <v>1</v>
      </c>
    </row>
    <row r="309" spans="10:16" x14ac:dyDescent="0.25">
      <c r="J309">
        <f t="shared" si="47"/>
        <v>2065</v>
      </c>
      <c r="K309">
        <v>3</v>
      </c>
      <c r="L309">
        <f t="shared" si="43"/>
        <v>5</v>
      </c>
      <c r="N309">
        <f t="shared" si="46"/>
        <v>2078</v>
      </c>
      <c r="O309">
        <v>3</v>
      </c>
      <c r="P309">
        <f t="shared" si="44"/>
        <v>1</v>
      </c>
    </row>
    <row r="310" spans="10:16" x14ac:dyDescent="0.25">
      <c r="J310">
        <f t="shared" si="47"/>
        <v>2066</v>
      </c>
      <c r="K310">
        <v>4</v>
      </c>
      <c r="L310">
        <f t="shared" si="43"/>
        <v>9</v>
      </c>
      <c r="N310">
        <f t="shared" si="46"/>
        <v>2079</v>
      </c>
      <c r="O310">
        <v>4</v>
      </c>
      <c r="P310">
        <f t="shared" si="44"/>
        <v>9</v>
      </c>
    </row>
    <row r="311" spans="10:16" x14ac:dyDescent="0.25">
      <c r="J311">
        <f t="shared" si="47"/>
        <v>2067</v>
      </c>
      <c r="K311">
        <v>5</v>
      </c>
      <c r="L311">
        <f t="shared" si="43"/>
        <v>5</v>
      </c>
      <c r="N311">
        <f t="shared" si="46"/>
        <v>2080</v>
      </c>
      <c r="O311">
        <v>5</v>
      </c>
      <c r="P311">
        <f t="shared" si="44"/>
        <v>5</v>
      </c>
    </row>
    <row r="312" spans="10:16" x14ac:dyDescent="0.25">
      <c r="J312">
        <f t="shared" si="47"/>
        <v>2068</v>
      </c>
      <c r="K312">
        <v>6</v>
      </c>
      <c r="L312">
        <f t="shared" si="43"/>
        <v>3</v>
      </c>
      <c r="N312">
        <f t="shared" si="46"/>
        <v>2081</v>
      </c>
      <c r="O312">
        <v>6</v>
      </c>
      <c r="P312">
        <f t="shared" si="44"/>
        <v>4</v>
      </c>
    </row>
    <row r="313" spans="10:16" x14ac:dyDescent="0.25">
      <c r="J313">
        <f t="shared" si="47"/>
        <v>2069</v>
      </c>
      <c r="K313">
        <v>7</v>
      </c>
      <c r="L313">
        <f t="shared" si="43"/>
        <v>6</v>
      </c>
      <c r="N313">
        <f t="shared" si="46"/>
        <v>2082</v>
      </c>
      <c r="O313">
        <v>7</v>
      </c>
      <c r="P313">
        <f t="shared" si="44"/>
        <v>0</v>
      </c>
    </row>
    <row r="314" spans="10:16" x14ac:dyDescent="0.25">
      <c r="J314">
        <f t="shared" si="47"/>
        <v>2070</v>
      </c>
      <c r="K314">
        <v>1</v>
      </c>
      <c r="L314">
        <f t="shared" si="43"/>
        <v>1</v>
      </c>
      <c r="N314">
        <f t="shared" si="46"/>
        <v>2083</v>
      </c>
      <c r="O314">
        <v>1</v>
      </c>
      <c r="P314">
        <f t="shared" si="44"/>
        <v>1</v>
      </c>
    </row>
    <row r="315" spans="10:16" x14ac:dyDescent="0.25">
      <c r="J315">
        <f t="shared" si="47"/>
        <v>2071</v>
      </c>
      <c r="K315">
        <v>2</v>
      </c>
      <c r="L315">
        <f t="shared" si="43"/>
        <v>1</v>
      </c>
      <c r="N315">
        <f t="shared" si="46"/>
        <v>2084</v>
      </c>
      <c r="O315">
        <v>2</v>
      </c>
      <c r="P315">
        <f t="shared" si="44"/>
        <v>1</v>
      </c>
    </row>
    <row r="316" spans="10:16" x14ac:dyDescent="0.25">
      <c r="J316">
        <f t="shared" si="47"/>
        <v>2072</v>
      </c>
      <c r="K316">
        <v>3</v>
      </c>
      <c r="L316">
        <f t="shared" si="43"/>
        <v>5</v>
      </c>
      <c r="N316">
        <f t="shared" si="46"/>
        <v>2085</v>
      </c>
      <c r="O316">
        <v>3</v>
      </c>
      <c r="P316">
        <f t="shared" si="44"/>
        <v>1</v>
      </c>
    </row>
    <row r="317" spans="10:16" x14ac:dyDescent="0.25">
      <c r="J317">
        <f t="shared" si="47"/>
        <v>2073</v>
      </c>
      <c r="K317">
        <v>4</v>
      </c>
      <c r="L317">
        <f t="shared" si="43"/>
        <v>9</v>
      </c>
      <c r="N317">
        <f t="shared" si="46"/>
        <v>2086</v>
      </c>
      <c r="O317">
        <v>4</v>
      </c>
      <c r="P317">
        <f t="shared" si="44"/>
        <v>9</v>
      </c>
    </row>
    <row r="318" spans="10:16" x14ac:dyDescent="0.25">
      <c r="J318">
        <f t="shared" si="47"/>
        <v>2074</v>
      </c>
      <c r="K318">
        <v>5</v>
      </c>
      <c r="L318">
        <f t="shared" si="43"/>
        <v>5</v>
      </c>
      <c r="N318">
        <f t="shared" si="46"/>
        <v>2087</v>
      </c>
      <c r="O318">
        <v>5</v>
      </c>
      <c r="P318">
        <f t="shared" si="44"/>
        <v>5</v>
      </c>
    </row>
    <row r="319" spans="10:16" x14ac:dyDescent="0.25">
      <c r="J319">
        <f t="shared" si="47"/>
        <v>2075</v>
      </c>
      <c r="K319">
        <v>6</v>
      </c>
      <c r="L319">
        <f t="shared" si="43"/>
        <v>3</v>
      </c>
      <c r="N319">
        <f t="shared" si="46"/>
        <v>2088</v>
      </c>
      <c r="O319">
        <v>6</v>
      </c>
      <c r="P319">
        <f t="shared" si="44"/>
        <v>4</v>
      </c>
    </row>
    <row r="320" spans="10:16" x14ac:dyDescent="0.25">
      <c r="J320">
        <f t="shared" si="47"/>
        <v>2076</v>
      </c>
      <c r="K320">
        <v>7</v>
      </c>
      <c r="L320">
        <f t="shared" si="43"/>
        <v>6</v>
      </c>
      <c r="N320">
        <f t="shared" si="46"/>
        <v>2089</v>
      </c>
      <c r="O320">
        <v>7</v>
      </c>
      <c r="P320">
        <f t="shared" si="44"/>
        <v>0</v>
      </c>
    </row>
  </sheetData>
  <mergeCells count="27">
    <mergeCell ref="AB4:AL4"/>
    <mergeCell ref="AB47:AB53"/>
    <mergeCell ref="AB54:AB60"/>
    <mergeCell ref="D65:J65"/>
    <mergeCell ref="R4:Y4"/>
    <mergeCell ref="S8:T8"/>
    <mergeCell ref="R10:Y10"/>
    <mergeCell ref="S14:T14"/>
    <mergeCell ref="R28:X28"/>
    <mergeCell ref="AB23:AB32"/>
    <mergeCell ref="AB33:AB39"/>
    <mergeCell ref="AB40:AB46"/>
    <mergeCell ref="F14:G14"/>
    <mergeCell ref="F17:G17"/>
    <mergeCell ref="T33:V33"/>
    <mergeCell ref="L19:M19"/>
    <mergeCell ref="V23:X23"/>
    <mergeCell ref="R23:T23"/>
    <mergeCell ref="L28:P28"/>
    <mergeCell ref="R37:R40"/>
    <mergeCell ref="T44:V44"/>
    <mergeCell ref="X37:X40"/>
    <mergeCell ref="O19:P19"/>
    <mergeCell ref="M12:O12"/>
    <mergeCell ref="L20:M20"/>
    <mergeCell ref="O20:P20"/>
    <mergeCell ref="G87:I87"/>
  </mergeCells>
  <conditionalFormatting sqref="C52:C56 AN67:AN72 AN75:AN80 X56:X61 AN61:AN64 X48:X53">
    <cfRule type="containsText" dxfId="121" priority="99" operator="containsText" text="Да">
      <formula>NOT(ISERROR(SEARCH("Да",C48)))</formula>
    </cfRule>
  </conditionalFormatting>
  <conditionalFormatting sqref="C59:C61">
    <cfRule type="containsText" dxfId="120" priority="98" operator="containsText" text="Да">
      <formula>NOT(ISERROR(SEARCH("Да",C59)))</formula>
    </cfRule>
  </conditionalFormatting>
  <conditionalFormatting sqref="I52:I57">
    <cfRule type="containsText" dxfId="119" priority="96" operator="containsText" text="Да">
      <formula>NOT(ISERROR(SEARCH("Да",I52)))</formula>
    </cfRule>
  </conditionalFormatting>
  <conditionalFormatting sqref="C43:C48">
    <cfRule type="containsText" dxfId="118" priority="95" operator="containsText" text="Да">
      <formula>NOT(ISERROR(SEARCH("Да",C43)))</formula>
    </cfRule>
  </conditionalFormatting>
  <conditionalFormatting sqref="I43:I48">
    <cfRule type="containsText" dxfId="117" priority="94" operator="containsText" text="Да">
      <formula>NOT(ISERROR(SEARCH("Да",I43)))</formula>
    </cfRule>
  </conditionalFormatting>
  <conditionalFormatting sqref="C35:C40">
    <cfRule type="containsText" dxfId="116" priority="93" operator="containsText" text="Да">
      <formula>NOT(ISERROR(SEARCH("Да",C35)))</formula>
    </cfRule>
  </conditionalFormatting>
  <conditionalFormatting sqref="I35:I40">
    <cfRule type="containsText" dxfId="115" priority="92" operator="containsText" text="Да">
      <formula>NOT(ISERROR(SEARCH("Да",I35)))</formula>
    </cfRule>
  </conditionalFormatting>
  <conditionalFormatting sqref="C27:C32">
    <cfRule type="containsText" dxfId="114" priority="91" operator="containsText" text="Да">
      <formula>NOT(ISERROR(SEARCH("Да",C27)))</formula>
    </cfRule>
  </conditionalFormatting>
  <conditionalFormatting sqref="I27:I32">
    <cfRule type="containsText" dxfId="113" priority="90" operator="containsText" text="Да">
      <formula>NOT(ISERROR(SEARCH("Да",I27)))</formula>
    </cfRule>
  </conditionalFormatting>
  <conditionalFormatting sqref="R48:R53">
    <cfRule type="containsText" dxfId="112" priority="89" operator="containsText" text="Да">
      <formula>NOT(ISERROR(SEARCH("Да",R48)))</formula>
    </cfRule>
  </conditionalFormatting>
  <conditionalFormatting sqref="R56:R61">
    <cfRule type="containsText" dxfId="111" priority="86" operator="containsText" text="Да">
      <formula>NOT(ISERROR(SEARCH("Да",R56)))</formula>
    </cfRule>
  </conditionalFormatting>
  <conditionalFormatting sqref="R64:R69">
    <cfRule type="containsText" dxfId="110" priority="84" operator="containsText" text="Да">
      <formula>NOT(ISERROR(SEARCH("Да",R64)))</formula>
    </cfRule>
  </conditionalFormatting>
  <conditionalFormatting sqref="R72:R77">
    <cfRule type="containsText" dxfId="109" priority="82" operator="containsText" text="Да">
      <formula>NOT(ISERROR(SEARCH("Да",R72)))</formula>
    </cfRule>
  </conditionalFormatting>
  <conditionalFormatting sqref="AL25">
    <cfRule type="containsText" dxfId="108" priority="80" operator="containsText" text="Да">
      <formula>NOT(ISERROR(SEARCH("Да",AL25)))</formula>
    </cfRule>
  </conditionalFormatting>
  <conditionalFormatting sqref="AJ25:AK25">
    <cfRule type="containsText" dxfId="107" priority="79" operator="containsText" text="Да">
      <formula>NOT(ISERROR(SEARCH("Да",AJ25)))</formula>
    </cfRule>
  </conditionalFormatting>
  <conditionalFormatting sqref="AD25:AG25">
    <cfRule type="containsText" dxfId="106" priority="78" operator="containsText" text="Да">
      <formula>NOT(ISERROR(SEARCH("Да",AD25)))</formula>
    </cfRule>
  </conditionalFormatting>
  <conditionalFormatting sqref="AD28:AI28">
    <cfRule type="containsText" dxfId="105" priority="77" operator="containsText" text="Да">
      <formula>NOT(ISERROR(SEARCH("Да",AD28)))</formula>
    </cfRule>
  </conditionalFormatting>
  <conditionalFormatting sqref="AD31:AI31">
    <cfRule type="containsText" dxfId="104" priority="76" operator="containsText" text="Да">
      <formula>NOT(ISERROR(SEARCH("Да",AD31)))</formula>
    </cfRule>
  </conditionalFormatting>
  <conditionalFormatting sqref="AM25">
    <cfRule type="containsText" dxfId="103" priority="75" operator="containsText" text="Да">
      <formula>NOT(ISERROR(SEARCH("Да",AM25)))</formula>
    </cfRule>
  </conditionalFormatting>
  <conditionalFormatting sqref="AJ28:AM28">
    <cfRule type="containsText" dxfId="102" priority="74" operator="containsText" text="Да">
      <formula>NOT(ISERROR(SEARCH("Да",AJ28)))</formula>
    </cfRule>
  </conditionalFormatting>
  <conditionalFormatting sqref="AJ31:AM31">
    <cfRule type="containsText" dxfId="101" priority="73" operator="containsText" text="Да">
      <formula>NOT(ISERROR(SEARCH("Да",AJ31)))</formula>
    </cfRule>
  </conditionalFormatting>
  <conditionalFormatting sqref="AH26:AI26">
    <cfRule type="containsText" dxfId="100" priority="72" operator="containsText" text="Да">
      <formula>NOT(ISERROR(SEARCH("Да",AH26)))</formula>
    </cfRule>
  </conditionalFormatting>
  <conditionalFormatting sqref="AH29:AI29">
    <cfRule type="containsText" dxfId="99" priority="71" operator="containsText" text="Да">
      <formula>NOT(ISERROR(SEARCH("Да",AH29)))</formula>
    </cfRule>
  </conditionalFormatting>
  <conditionalFormatting sqref="AH32:AI32">
    <cfRule type="containsText" dxfId="98" priority="70" operator="containsText" text="Да">
      <formula>NOT(ISERROR(SEARCH("Да",AH32)))</formula>
    </cfRule>
  </conditionalFormatting>
  <conditionalFormatting sqref="AH33:AI33">
    <cfRule type="containsText" dxfId="97" priority="65" operator="containsText" text="Да">
      <formula>NOT(ISERROR(SEARCH("Да",AH33)))</formula>
    </cfRule>
  </conditionalFormatting>
  <conditionalFormatting sqref="AD35:AI35">
    <cfRule type="containsText" dxfId="96" priority="64" operator="containsText" text="Да">
      <formula>NOT(ISERROR(SEARCH("Да",AD35)))</formula>
    </cfRule>
  </conditionalFormatting>
  <conditionalFormatting sqref="AJ35:AM35">
    <cfRule type="containsText" dxfId="95" priority="63" operator="containsText" text="Да">
      <formula>NOT(ISERROR(SEARCH("Да",AJ35)))</formula>
    </cfRule>
  </conditionalFormatting>
  <conditionalFormatting sqref="AH36:AI36">
    <cfRule type="containsText" dxfId="94" priority="62" operator="containsText" text="Да">
      <formula>NOT(ISERROR(SEARCH("Да",AH36)))</formula>
    </cfRule>
  </conditionalFormatting>
  <conditionalFormatting sqref="AD38:AI38">
    <cfRule type="containsText" dxfId="93" priority="61" operator="containsText" text="Да">
      <formula>NOT(ISERROR(SEARCH("Да",AD38)))</formula>
    </cfRule>
  </conditionalFormatting>
  <conditionalFormatting sqref="AJ38:AM38">
    <cfRule type="containsText" dxfId="92" priority="60" operator="containsText" text="Да">
      <formula>NOT(ISERROR(SEARCH("Да",AJ38)))</formula>
    </cfRule>
  </conditionalFormatting>
  <conditionalFormatting sqref="AH39:AI39">
    <cfRule type="containsText" dxfId="91" priority="59" operator="containsText" text="Да">
      <formula>NOT(ISERROR(SEARCH("Да",AH39)))</formula>
    </cfRule>
  </conditionalFormatting>
  <conditionalFormatting sqref="AH40:AI40">
    <cfRule type="containsText" dxfId="90" priority="54" operator="containsText" text="Да">
      <formula>NOT(ISERROR(SEARCH("Да",AH40)))</formula>
    </cfRule>
  </conditionalFormatting>
  <conditionalFormatting sqref="AD42:AI42">
    <cfRule type="containsText" dxfId="89" priority="53" operator="containsText" text="Да">
      <formula>NOT(ISERROR(SEARCH("Да",AD42)))</formula>
    </cfRule>
  </conditionalFormatting>
  <conditionalFormatting sqref="AJ42:AM42">
    <cfRule type="containsText" dxfId="88" priority="52" operator="containsText" text="Да">
      <formula>NOT(ISERROR(SEARCH("Да",AJ42)))</formula>
    </cfRule>
  </conditionalFormatting>
  <conditionalFormatting sqref="AH43:AI43">
    <cfRule type="containsText" dxfId="87" priority="51" operator="containsText" text="Да">
      <formula>NOT(ISERROR(SEARCH("Да",AH43)))</formula>
    </cfRule>
  </conditionalFormatting>
  <conditionalFormatting sqref="AD45:AI45">
    <cfRule type="containsText" dxfId="86" priority="50" operator="containsText" text="Да">
      <formula>NOT(ISERROR(SEARCH("Да",AD45)))</formula>
    </cfRule>
  </conditionalFormatting>
  <conditionalFormatting sqref="AJ45:AM45">
    <cfRule type="containsText" dxfId="85" priority="49" operator="containsText" text="Да">
      <formula>NOT(ISERROR(SEARCH("Да",AJ45)))</formula>
    </cfRule>
  </conditionalFormatting>
  <conditionalFormatting sqref="AH46:AI46">
    <cfRule type="containsText" dxfId="84" priority="48" operator="containsText" text="Да">
      <formula>NOT(ISERROR(SEARCH("Да",AH46)))</formula>
    </cfRule>
  </conditionalFormatting>
  <conditionalFormatting sqref="AH54:AI54">
    <cfRule type="containsText" dxfId="83" priority="10" operator="containsText" text="Да">
      <formula>NOT(ISERROR(SEARCH("Да",AH54)))</formula>
    </cfRule>
  </conditionalFormatting>
  <conditionalFormatting sqref="AD56:AI56">
    <cfRule type="containsText" dxfId="82" priority="9" operator="containsText" text="Да">
      <formula>NOT(ISERROR(SEARCH("Да",AD56)))</formula>
    </cfRule>
  </conditionalFormatting>
  <conditionalFormatting sqref="AJ56:AM56">
    <cfRule type="containsText" dxfId="81" priority="8" operator="containsText" text="Да">
      <formula>NOT(ISERROR(SEARCH("Да",AJ56)))</formula>
    </cfRule>
  </conditionalFormatting>
  <conditionalFormatting sqref="AH57:AI57">
    <cfRule type="containsText" dxfId="80" priority="7" operator="containsText" text="Да">
      <formula>NOT(ISERROR(SEARCH("Да",AH57)))</formula>
    </cfRule>
  </conditionalFormatting>
  <conditionalFormatting sqref="AD59:AI59">
    <cfRule type="containsText" dxfId="79" priority="6" operator="containsText" text="Да">
      <formula>NOT(ISERROR(SEARCH("Да",AD59)))</formula>
    </cfRule>
  </conditionalFormatting>
  <conditionalFormatting sqref="AJ59:AM59">
    <cfRule type="containsText" dxfId="78" priority="5" operator="containsText" text="Да">
      <formula>NOT(ISERROR(SEARCH("Да",AJ59)))</formula>
    </cfRule>
  </conditionalFormatting>
  <conditionalFormatting sqref="AH60:AI60">
    <cfRule type="containsText" dxfId="77" priority="4" operator="containsText" text="Да">
      <formula>NOT(ISERROR(SEARCH("Да",AH60)))</formula>
    </cfRule>
  </conditionalFormatting>
  <conditionalFormatting sqref="AH47:AI47">
    <cfRule type="containsText" dxfId="76" priority="21" operator="containsText" text="Да">
      <formula>NOT(ISERROR(SEARCH("Да",AH47)))</formula>
    </cfRule>
  </conditionalFormatting>
  <conditionalFormatting sqref="AD49:AI49">
    <cfRule type="containsText" dxfId="75" priority="20" operator="containsText" text="Да">
      <formula>NOT(ISERROR(SEARCH("Да",AD49)))</formula>
    </cfRule>
  </conditionalFormatting>
  <conditionalFormatting sqref="AJ49:AM49">
    <cfRule type="containsText" dxfId="74" priority="19" operator="containsText" text="Да">
      <formula>NOT(ISERROR(SEARCH("Да",AJ49)))</formula>
    </cfRule>
  </conditionalFormatting>
  <conditionalFormatting sqref="AH50:AI50">
    <cfRule type="containsText" dxfId="73" priority="18" operator="containsText" text="Да">
      <formula>NOT(ISERROR(SEARCH("Да",AH50)))</formula>
    </cfRule>
  </conditionalFormatting>
  <conditionalFormatting sqref="AD52:AI52">
    <cfRule type="containsText" dxfId="72" priority="17" operator="containsText" text="Да">
      <formula>NOT(ISERROR(SEARCH("Да",AD52)))</formula>
    </cfRule>
  </conditionalFormatting>
  <conditionalFormatting sqref="AJ52:AM52">
    <cfRule type="containsText" dxfId="71" priority="16" operator="containsText" text="Да">
      <formula>NOT(ISERROR(SEARCH("Да",AJ52)))</formula>
    </cfRule>
  </conditionalFormatting>
  <conditionalFormatting sqref="AH53:AI53">
    <cfRule type="containsText" dxfId="70" priority="15" operator="containsText" text="Да">
      <formula>NOT(ISERROR(SEARCH("Да",AH53)))</formula>
    </cfRule>
  </conditionalFormatting>
  <conditionalFormatting sqref="X72:X77">
    <cfRule type="containsText" dxfId="69" priority="1" operator="containsText" text="Да">
      <formula>NOT(ISERROR(SEARCH("Да",X72)))</formula>
    </cfRule>
  </conditionalFormatting>
  <conditionalFormatting sqref="X64:X69">
    <cfRule type="containsText" dxfId="68" priority="2" operator="containsText" text="Да">
      <formula>NOT(ISERROR(SEARCH("Да",X64)))</formula>
    </cfRule>
  </conditionalFormatting>
  <pageMargins left="0.7" right="0.7" top="0.75" bottom="0.75" header="0.3" footer="0.3"/>
  <pageSetup orientation="portrait" verticalDpi="1200"/>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X114"/>
  <sheetViews>
    <sheetView topLeftCell="A20" workbookViewId="0">
      <selection activeCell="C10" sqref="C10"/>
    </sheetView>
  </sheetViews>
  <sheetFormatPr defaultColWidth="8.875" defaultRowHeight="15" x14ac:dyDescent="0.25"/>
  <cols>
    <col min="2" max="2" width="27.375" bestFit="1" customWidth="1"/>
    <col min="3" max="3" width="12" customWidth="1"/>
    <col min="5" max="5" width="8.75" style="549" customWidth="1"/>
    <col min="6" max="6" width="10.875" customWidth="1"/>
    <col min="7" max="7" width="10.75" customWidth="1"/>
    <col min="8" max="8" width="12.375" customWidth="1"/>
    <col min="9" max="9" width="11.875" customWidth="1"/>
    <col min="10" max="10" width="20.75" customWidth="1"/>
    <col min="11" max="11" width="9.375" customWidth="1"/>
    <col min="13" max="13" width="10.75" customWidth="1"/>
    <col min="14" max="14" width="12.875" bestFit="1" customWidth="1"/>
    <col min="15" max="15" width="11.875" bestFit="1" customWidth="1"/>
    <col min="16" max="16" width="10.125" customWidth="1"/>
    <col min="19" max="19" width="9.875" customWidth="1"/>
    <col min="21" max="21" width="10.875" customWidth="1"/>
    <col min="22" max="22" width="12.75" customWidth="1"/>
    <col min="24" max="24" width="12.375" customWidth="1"/>
  </cols>
  <sheetData>
    <row r="3" spans="2:24" x14ac:dyDescent="0.25">
      <c r="B3" s="66" t="s">
        <v>133</v>
      </c>
      <c r="J3" s="786" t="s">
        <v>17</v>
      </c>
      <c r="K3" s="786"/>
      <c r="L3" s="786"/>
      <c r="M3" s="786"/>
      <c r="N3" s="786"/>
      <c r="O3" s="786"/>
      <c r="P3" s="786"/>
      <c r="Q3" s="787"/>
    </row>
    <row r="4" spans="2:24" ht="15.75" thickBot="1" x14ac:dyDescent="0.3">
      <c r="J4" s="19"/>
      <c r="K4" s="19" t="s">
        <v>20</v>
      </c>
      <c r="L4" s="19" t="s">
        <v>21</v>
      </c>
      <c r="M4" s="19" t="s">
        <v>22</v>
      </c>
      <c r="N4" s="19" t="s">
        <v>23</v>
      </c>
      <c r="O4" s="19" t="s">
        <v>24</v>
      </c>
      <c r="P4" s="20" t="s">
        <v>25</v>
      </c>
      <c r="Q4" s="21" t="s">
        <v>26</v>
      </c>
    </row>
    <row r="5" spans="2:24" ht="15.75" thickBot="1" x14ac:dyDescent="0.3">
      <c r="B5" t="s">
        <v>169</v>
      </c>
      <c r="C5" s="577">
        <v>2022</v>
      </c>
      <c r="E5" s="550" t="s">
        <v>135</v>
      </c>
      <c r="J5" s="19" t="s">
        <v>33</v>
      </c>
      <c r="K5" s="22">
        <f>CalcTP(C6)</f>
        <v>6</v>
      </c>
      <c r="L5" s="22">
        <f>numberto22(ABS(DayTaroS+MonthtaroS))</f>
        <v>16</v>
      </c>
      <c r="M5" s="22">
        <f>numberto22(ABS(DayTaroS+YearTaroS))</f>
        <v>8</v>
      </c>
      <c r="N5" s="22">
        <f>numberto22(ABS(L5+M5))</f>
        <v>2</v>
      </c>
      <c r="O5" s="22">
        <f>numberto22(ABS(MonthtaroS+YearTaroS))</f>
        <v>12</v>
      </c>
      <c r="P5" s="20">
        <f>numberto22(L5+M5+N5+O5)</f>
        <v>16</v>
      </c>
      <c r="Q5" s="21">
        <f>numberto22(P5+P6)</f>
        <v>10</v>
      </c>
    </row>
    <row r="6" spans="2:24" x14ac:dyDescent="0.25">
      <c r="B6" s="60" t="s">
        <v>2</v>
      </c>
      <c r="C6" s="578">
        <v>6</v>
      </c>
      <c r="D6" s="24">
        <f>numberto22(C6)</f>
        <v>6</v>
      </c>
      <c r="E6" s="551">
        <f>SumNumbers(CONCATENATE(C6,C7,C8))</f>
        <v>31</v>
      </c>
      <c r="J6" s="19" t="s">
        <v>36</v>
      </c>
      <c r="K6" s="22">
        <f>CalcOPV(C6)</f>
        <v>0</v>
      </c>
      <c r="L6" s="22">
        <f>numberto22(ABS(DayTaroS-MonthtaroS))</f>
        <v>4</v>
      </c>
      <c r="M6" s="22">
        <f>numberto22(ABS(DayTaroS-YearTaroS))</f>
        <v>4</v>
      </c>
      <c r="N6" s="22">
        <f>numberto22(ABS(L6-M6))</f>
        <v>22</v>
      </c>
      <c r="O6" s="22">
        <f>numberto22(ABS(MonthtaroS-YearTaroS))</f>
        <v>8</v>
      </c>
      <c r="P6" s="20">
        <f>numberto22(L6+M6+N6+O6)</f>
        <v>16</v>
      </c>
      <c r="Q6" s="21">
        <f>numberto22(ABS(P6-P5))</f>
        <v>22</v>
      </c>
    </row>
    <row r="7" spans="2:24" x14ac:dyDescent="0.25">
      <c r="B7" s="62" t="s">
        <v>138</v>
      </c>
      <c r="C7" s="579">
        <v>10</v>
      </c>
      <c r="D7" s="24">
        <f>C7</f>
        <v>10</v>
      </c>
      <c r="E7" s="551">
        <f>SumNumbers(E6)</f>
        <v>4</v>
      </c>
      <c r="J7" s="23" t="s">
        <v>42</v>
      </c>
      <c r="K7" s="813" t="str">
        <f>CONCATENATE("0-", E8)</f>
        <v>0-32</v>
      </c>
      <c r="L7" s="814"/>
      <c r="M7" s="23" t="str">
        <f>CONCATENATE(E8+1,"-",E8+9)</f>
        <v>33-41</v>
      </c>
      <c r="N7" s="23" t="str">
        <f>CONCATENATE(E8+10,"-",E8+18)</f>
        <v>42-50</v>
      </c>
      <c r="O7" s="23" t="str">
        <f>CONCATENATE(E8+19,"-и далее")</f>
        <v>51-и далее</v>
      </c>
      <c r="P7" s="23" t="s">
        <v>43</v>
      </c>
      <c r="Q7" s="23" t="s">
        <v>43</v>
      </c>
    </row>
    <row r="8" spans="2:24" x14ac:dyDescent="0.25">
      <c r="B8" s="62" t="s">
        <v>140</v>
      </c>
      <c r="C8" s="579">
        <v>1995</v>
      </c>
      <c r="D8" s="24">
        <f>numberto22(SumNumbers(C8))</f>
        <v>2</v>
      </c>
      <c r="E8" s="551">
        <f>36-SumNumbers(E7)</f>
        <v>32</v>
      </c>
      <c r="Q8" s="24"/>
    </row>
    <row r="9" spans="2:24" ht="15.75" thickBot="1" x14ac:dyDescent="0.3">
      <c r="B9" s="16" t="s">
        <v>143</v>
      </c>
      <c r="C9" s="579" t="s">
        <v>1127</v>
      </c>
      <c r="D9" s="24">
        <f>numberto22(ConvertLettersToNumber(C9,Alphabet))</f>
        <v>9</v>
      </c>
      <c r="E9" s="551"/>
      <c r="Q9" s="24"/>
    </row>
    <row r="10" spans="2:24" x14ac:dyDescent="0.25">
      <c r="B10" t="s">
        <v>146</v>
      </c>
      <c r="C10" s="24">
        <f ca="1">DATEDIF(DATE(C8,C7,C6),TODAY(),"y")</f>
        <v>27</v>
      </c>
      <c r="D10" s="24"/>
      <c r="E10" s="551"/>
      <c r="F10" s="83" t="s">
        <v>152</v>
      </c>
      <c r="Q10" s="24"/>
    </row>
    <row r="11" spans="2:24" x14ac:dyDescent="0.25">
      <c r="B11" t="s">
        <v>2</v>
      </c>
      <c r="C11" s="83">
        <f>DATE(C8,C7,C6)</f>
        <v>34978</v>
      </c>
      <c r="D11" s="24"/>
      <c r="E11" s="551"/>
      <c r="F11" s="83" t="s">
        <v>153</v>
      </c>
      <c r="Q11" s="24"/>
    </row>
    <row r="12" spans="2:24" ht="15.75" thickBot="1" x14ac:dyDescent="0.3">
      <c r="Q12" s="24"/>
    </row>
    <row r="13" spans="2:24" x14ac:dyDescent="0.25">
      <c r="B13" s="102" t="s">
        <v>149</v>
      </c>
      <c r="C13" s="301">
        <f>C5</f>
        <v>2022</v>
      </c>
      <c r="D13" s="73"/>
      <c r="E13" s="552"/>
      <c r="F13" s="73"/>
      <c r="G13" s="73"/>
      <c r="H13" s="103"/>
      <c r="J13" s="102" t="s">
        <v>154</v>
      </c>
      <c r="K13" s="70">
        <f>C5</f>
        <v>2022</v>
      </c>
      <c r="L13" s="303" t="s">
        <v>155</v>
      </c>
      <c r="M13" s="73"/>
      <c r="N13" s="73"/>
      <c r="O13" s="73"/>
      <c r="P13" s="103"/>
      <c r="Q13" s="24"/>
      <c r="R13" s="102" t="s">
        <v>134</v>
      </c>
      <c r="S13" s="73"/>
      <c r="T13" s="73"/>
      <c r="U13" s="73"/>
      <c r="V13" s="73"/>
      <c r="W13" s="73"/>
      <c r="X13" s="103"/>
    </row>
    <row r="14" spans="2:24" x14ac:dyDescent="0.25">
      <c r="B14" s="75"/>
      <c r="C14" s="100"/>
      <c r="D14" s="77" t="s">
        <v>150</v>
      </c>
      <c r="E14" s="809">
        <f>DATE(C5,C7,C6)-1</f>
        <v>44839</v>
      </c>
      <c r="F14" s="809"/>
      <c r="G14" s="65"/>
      <c r="H14" s="104"/>
      <c r="J14" s="105"/>
      <c r="K14" s="77"/>
      <c r="L14" s="100"/>
      <c r="M14" s="304"/>
      <c r="N14" s="65"/>
      <c r="O14" s="65"/>
      <c r="P14" s="104"/>
      <c r="Q14" s="24"/>
      <c r="R14" s="75"/>
      <c r="S14" s="65"/>
      <c r="T14" s="65"/>
      <c r="U14" s="65"/>
      <c r="V14" s="65"/>
      <c r="W14" s="65"/>
      <c r="X14" s="104"/>
    </row>
    <row r="15" spans="2:24" ht="15.75" thickBot="1" x14ac:dyDescent="0.3">
      <c r="B15" s="75"/>
      <c r="C15" s="65"/>
      <c r="D15" s="811" t="s">
        <v>151</v>
      </c>
      <c r="E15" s="811"/>
      <c r="F15" s="65" t="s">
        <v>141</v>
      </c>
      <c r="G15" s="65" t="s">
        <v>142</v>
      </c>
      <c r="H15" s="104" t="s">
        <v>141</v>
      </c>
      <c r="J15" s="105" t="s">
        <v>170</v>
      </c>
      <c r="K15" s="65"/>
      <c r="L15" s="65"/>
      <c r="M15" s="65"/>
      <c r="N15" s="65"/>
      <c r="O15" s="65"/>
      <c r="P15" s="104"/>
      <c r="Q15" s="24"/>
      <c r="R15" s="75"/>
      <c r="S15" s="65" t="s">
        <v>3</v>
      </c>
      <c r="T15" s="65" t="s">
        <v>11</v>
      </c>
      <c r="U15" s="65" t="s">
        <v>12</v>
      </c>
      <c r="V15" s="65"/>
      <c r="W15" s="65"/>
      <c r="X15" s="104"/>
    </row>
    <row r="16" spans="2:24" ht="15.75" thickBot="1" x14ac:dyDescent="0.3">
      <c r="B16" s="60" t="s">
        <v>144</v>
      </c>
      <c r="C16" s="89">
        <f>numberto22(SumNumbers(CONCATENATE(C6,C7,YEAR(SolarDate($C$11,E14)))))</f>
        <v>12</v>
      </c>
      <c r="D16" s="97" t="s">
        <v>145</v>
      </c>
      <c r="E16" s="553">
        <f>numberto22(C16+C17)</f>
        <v>11</v>
      </c>
      <c r="F16" s="72" t="str">
        <f>IF(COUNTIF($K$6:$P$6,C16)&gt;0, "Да", "Нет")</f>
        <v>Нет</v>
      </c>
      <c r="G16" s="93">
        <f>ABS(numberto22(C16+NameArc*KarmicShadow($C$11,$E$14,VALUE($L$6))))</f>
        <v>21</v>
      </c>
      <c r="H16" s="61" t="str">
        <f>IF(COUNTIF($K$6:$P$6,G16)&gt;0, "Да", "Нет")</f>
        <v>Нет</v>
      </c>
      <c r="J16" s="305">
        <f>M16</f>
        <v>44839</v>
      </c>
      <c r="K16" s="65"/>
      <c r="L16" s="100" t="s">
        <v>150</v>
      </c>
      <c r="M16" s="809">
        <f>DATE(C5,C7,C6)-1</f>
        <v>44839</v>
      </c>
      <c r="N16" s="809"/>
      <c r="O16" s="76">
        <f>YEAR(SolarDate($C$11,M16))</f>
        <v>2021</v>
      </c>
      <c r="P16" s="104"/>
      <c r="Q16" s="24"/>
      <c r="R16" s="75"/>
      <c r="S16" s="76">
        <f>C6</f>
        <v>6</v>
      </c>
      <c r="T16" s="76">
        <f>C7</f>
        <v>10</v>
      </c>
      <c r="U16" s="76">
        <f>C8</f>
        <v>1995</v>
      </c>
      <c r="V16" s="76"/>
      <c r="W16" s="65"/>
      <c r="X16" s="104"/>
    </row>
    <row r="17" spans="2:24" ht="15.75" thickBot="1" x14ac:dyDescent="0.3">
      <c r="B17" s="16" t="s">
        <v>147</v>
      </c>
      <c r="C17" s="90">
        <f>numberto22((numberto22(C6)+numberto22(C7)+numberto22(SumNumbers(YEAR(SolarDate($C$11,E14))))))</f>
        <v>21</v>
      </c>
      <c r="D17" s="98" t="s">
        <v>148</v>
      </c>
      <c r="E17" s="554">
        <f>numberto22(ABS(C16-C17))</f>
        <v>9</v>
      </c>
      <c r="F17" s="17" t="str">
        <f>IF(COUNTIF($K$6:$P$6,C17)&gt;0, "Да", "Нет")</f>
        <v>Нет</v>
      </c>
      <c r="G17" s="94">
        <f>ABS(numberto22(C17+NameArc*KarmicShadow($C$11,$E$14,VALUE($L$6))))</f>
        <v>8</v>
      </c>
      <c r="H17" s="18" t="str">
        <f>IF(COUNTIF($K$6:$P$6,G17)&gt;0, "Да", "Нет")</f>
        <v>Да</v>
      </c>
      <c r="J17" s="75"/>
      <c r="K17" s="76"/>
      <c r="L17" s="811" t="s">
        <v>151</v>
      </c>
      <c r="M17" s="811"/>
      <c r="N17" s="65" t="s">
        <v>141</v>
      </c>
      <c r="O17" s="65" t="s">
        <v>142</v>
      </c>
      <c r="P17" s="104" t="s">
        <v>141</v>
      </c>
      <c r="R17" s="75"/>
      <c r="S17" s="108">
        <v>5</v>
      </c>
      <c r="T17" s="107">
        <v>12</v>
      </c>
      <c r="U17" s="108">
        <v>2022</v>
      </c>
      <c r="V17" s="76" t="s">
        <v>136</v>
      </c>
      <c r="W17" s="76">
        <f>YEAR(SolarDate($C$11,DATE($C$5,T17,S17)))</f>
        <v>2022</v>
      </c>
      <c r="X17" s="104"/>
    </row>
    <row r="18" spans="2:24" x14ac:dyDescent="0.25">
      <c r="B18" s="75"/>
      <c r="C18" s="77"/>
      <c r="D18" s="99"/>
      <c r="E18" s="555"/>
      <c r="F18" s="65"/>
      <c r="G18" s="100"/>
      <c r="H18" s="104"/>
      <c r="J18" s="60" t="s">
        <v>144</v>
      </c>
      <c r="K18" s="89">
        <f>numberto22(SumNumbers(CONCATENATE($C$6,MONTH(M16),O16)))</f>
        <v>12</v>
      </c>
      <c r="L18" s="97" t="s">
        <v>145</v>
      </c>
      <c r="M18" s="91">
        <f>numberto22(K18+K19)</f>
        <v>11</v>
      </c>
      <c r="N18" s="72" t="str">
        <f>IF(COUNTIF($K$6:$P$6,K18)&gt;0, "Да", "Нет")</f>
        <v>Нет</v>
      </c>
      <c r="O18" s="93">
        <f>ABS(numberto22(K18+NameArc*KarmicShadow($C$11,$E$14,VALUE($L$6))))</f>
        <v>21</v>
      </c>
      <c r="P18" s="61" t="str">
        <f>IF(COUNTIF($K$6:$P$6,O18)&gt;0, "Да", "Нет")</f>
        <v>Нет</v>
      </c>
      <c r="Q18" s="83"/>
      <c r="R18" s="75" t="s">
        <v>137</v>
      </c>
      <c r="S18" s="76"/>
      <c r="T18" s="76">
        <f ca="1">DAY(EOMONTH(DATE(YEAR(TODAY()),T17,1),0))</f>
        <v>31</v>
      </c>
      <c r="U18" s="76"/>
      <c r="V18" s="76"/>
      <c r="W18" s="65"/>
      <c r="X18" s="104"/>
    </row>
    <row r="19" spans="2:24" ht="15.75" thickBot="1" x14ac:dyDescent="0.3">
      <c r="B19" s="105" t="s">
        <v>149</v>
      </c>
      <c r="C19" s="302">
        <f>YEAR(E19)</f>
        <v>2022</v>
      </c>
      <c r="D19" s="77" t="s">
        <v>168</v>
      </c>
      <c r="E19" s="809">
        <f>DATE(C5,C7,C6)</f>
        <v>44840</v>
      </c>
      <c r="F19" s="809"/>
      <c r="G19" s="65"/>
      <c r="H19" s="104"/>
      <c r="I19" s="65"/>
      <c r="J19" s="16" t="s">
        <v>147</v>
      </c>
      <c r="K19" s="90">
        <f>numberto22((numberto22($C$6)+numberto22(MONTH(M16))+numberto22(SumNumbers(O16))))</f>
        <v>21</v>
      </c>
      <c r="L19" s="98" t="s">
        <v>148</v>
      </c>
      <c r="M19" s="92">
        <f>numberto22(ABS(K18-K19))</f>
        <v>9</v>
      </c>
      <c r="N19" s="17" t="str">
        <f>IF(COUNTIF($K$6:$P$6,K19)&gt;0, "Да", "Нет")</f>
        <v>Нет</v>
      </c>
      <c r="O19" s="94">
        <f>ABS(numberto22(K19+NameArc*KarmicShadow($C$11,$E$14,VALUE($L$6))))</f>
        <v>8</v>
      </c>
      <c r="P19" s="18" t="str">
        <f>IF(COUNTIF($K$6:$P$6,O19)&gt;0, "Да", "Нет")</f>
        <v>Да</v>
      </c>
      <c r="R19" s="75"/>
      <c r="S19" s="76">
        <f ca="1">IF($S$16+S17&lt;=T18,$S$16+S17,($S$16+S17)-T18)</f>
        <v>11</v>
      </c>
      <c r="T19" s="76">
        <f>T17</f>
        <v>12</v>
      </c>
      <c r="U19" s="76">
        <f>YEAR(SolarDate($C$11,DATE(U17,T17,S17)))</f>
        <v>2022</v>
      </c>
      <c r="V19" s="76"/>
      <c r="W19" s="65"/>
      <c r="X19" s="104"/>
    </row>
    <row r="20" spans="2:24" ht="15.75" thickBot="1" x14ac:dyDescent="0.3">
      <c r="B20" s="75"/>
      <c r="C20" s="65"/>
      <c r="D20" s="811" t="s">
        <v>151</v>
      </c>
      <c r="E20" s="811"/>
      <c r="F20" s="65" t="s">
        <v>141</v>
      </c>
      <c r="G20" s="65" t="s">
        <v>142</v>
      </c>
      <c r="H20" s="104" t="s">
        <v>141</v>
      </c>
      <c r="I20" s="65"/>
      <c r="J20" s="75"/>
      <c r="K20" s="65"/>
      <c r="L20" s="65"/>
      <c r="M20" s="65"/>
      <c r="N20" s="65"/>
      <c r="O20" s="65"/>
      <c r="P20" s="104"/>
      <c r="R20" s="105" t="s">
        <v>139</v>
      </c>
      <c r="T20" s="809">
        <f>DATE(U17,T17,S17)</f>
        <v>44900</v>
      </c>
      <c r="U20" s="809"/>
      <c r="W20" s="76"/>
      <c r="X20" s="104"/>
    </row>
    <row r="21" spans="2:24" ht="15.75" thickBot="1" x14ac:dyDescent="0.3">
      <c r="B21" s="60" t="s">
        <v>144</v>
      </c>
      <c r="C21" s="89">
        <f>numberto22(SumNumbers(CONCATENATE($C$6,$C$7,YEAR(SolarDate($C$11,E19)))))</f>
        <v>13</v>
      </c>
      <c r="D21" s="97" t="s">
        <v>145</v>
      </c>
      <c r="E21" s="553">
        <f>numberto22(C21+C22)</f>
        <v>13</v>
      </c>
      <c r="F21" s="72" t="str">
        <f>IF(COUNTIF($K$6:$P$6,C21)&gt;0, "Да", "Нет")</f>
        <v>Нет</v>
      </c>
      <c r="G21" s="93">
        <f>ABS(numberto22(C21+NameArc*KarmicShadow($C$11,E19,VALUE($L$6))))</f>
        <v>22</v>
      </c>
      <c r="H21" s="61" t="str">
        <f>IF(COUNTIF($K$6:$P$6,G21)&gt;0, "Да", "Нет")</f>
        <v>Да</v>
      </c>
      <c r="I21" s="65"/>
      <c r="J21" s="306" t="s">
        <v>156</v>
      </c>
      <c r="K21" s="76"/>
      <c r="L21" s="100" t="s">
        <v>150</v>
      </c>
      <c r="M21" s="812">
        <f>DATE($K$13,1,DAY(EOMONTH(DATE(YEAR($K$13),1,1),0)))</f>
        <v>44592</v>
      </c>
      <c r="N21" s="812"/>
      <c r="O21" s="76">
        <f>YEAR(SolarDate($C$11,M21))</f>
        <v>2021</v>
      </c>
      <c r="P21" s="104"/>
      <c r="R21" s="106"/>
      <c r="S21" s="76"/>
      <c r="T21" s="810" t="s">
        <v>151</v>
      </c>
      <c r="U21" s="810"/>
      <c r="V21" s="76" t="s">
        <v>141</v>
      </c>
      <c r="W21" s="65" t="s">
        <v>142</v>
      </c>
      <c r="X21" s="104" t="s">
        <v>141</v>
      </c>
    </row>
    <row r="22" spans="2:24" ht="15.75" thickBot="1" x14ac:dyDescent="0.3">
      <c r="B22" s="16" t="s">
        <v>147</v>
      </c>
      <c r="C22" s="90">
        <f>numberto22((numberto22($C$6)+numberto22($C$7)+numberto22(SumNumbers(YEAR(SolarDate($C$11,E19))))))</f>
        <v>22</v>
      </c>
      <c r="D22" s="98" t="s">
        <v>148</v>
      </c>
      <c r="E22" s="554">
        <f>numberto22(ABS(C21-C22))</f>
        <v>9</v>
      </c>
      <c r="F22" s="17" t="str">
        <f>IF(COUNTIF($K$6:$P$6,C22)&gt;0, "Да", "Нет")</f>
        <v>Да</v>
      </c>
      <c r="G22" s="94">
        <f>ABS(numberto22(C22+NameArc*KarmicShadow($C$11,E19,VALUE($L$6))))</f>
        <v>9</v>
      </c>
      <c r="H22" s="18" t="str">
        <f>IF(COUNTIF($K$6:$P$6,G22)&gt;0, "Да", "Нет")</f>
        <v>Нет</v>
      </c>
      <c r="J22" s="75"/>
      <c r="K22" s="76"/>
      <c r="L22" s="811" t="s">
        <v>151</v>
      </c>
      <c r="M22" s="811"/>
      <c r="N22" s="65" t="s">
        <v>141</v>
      </c>
      <c r="O22" s="65" t="s">
        <v>142</v>
      </c>
      <c r="P22" s="104" t="s">
        <v>141</v>
      </c>
      <c r="R22" s="60" t="s">
        <v>144</v>
      </c>
      <c r="S22" s="89">
        <f ca="1">numberto22(SumNumbers(CONCATENATE(S19,T19,U19)))</f>
        <v>11</v>
      </c>
      <c r="T22" s="97" t="s">
        <v>145</v>
      </c>
      <c r="U22" s="91">
        <f ca="1">numberto22(S22+S23)</f>
        <v>18</v>
      </c>
      <c r="V22" s="72" t="str">
        <f ca="1">IF(COUNTIF($K$6:$P$6,S22)&gt;0, "Да", "Нет")</f>
        <v>Нет</v>
      </c>
      <c r="W22" s="93">
        <f ca="1">ABS(numberto22(S22+NameArc*KarmicShadow($C$11,DATE($U$17,$T$17,$S$17),VALUE($L$6))))</f>
        <v>20</v>
      </c>
      <c r="X22" s="61" t="str">
        <f ca="1">IF(COUNTIF($K$6:$P$6,W22)&gt;0, "Да", "Нет")</f>
        <v>Нет</v>
      </c>
    </row>
    <row r="23" spans="2:24" ht="15.75" thickBot="1" x14ac:dyDescent="0.3">
      <c r="B23" s="105" t="s">
        <v>149</v>
      </c>
      <c r="C23" s="302">
        <f>YEAR(E23)</f>
        <v>2023</v>
      </c>
      <c r="D23" s="77" t="s">
        <v>168</v>
      </c>
      <c r="E23" s="809">
        <f>DATE(YEAR(E19)+1,MONTH(E19),DAY(E19))</f>
        <v>45205</v>
      </c>
      <c r="F23" s="809"/>
      <c r="G23" s="65"/>
      <c r="H23" s="104"/>
      <c r="J23" s="60" t="s">
        <v>144</v>
      </c>
      <c r="K23" s="89">
        <f>numberto22(SumNumbers(CONCATENATE($C$6,1,O21)))</f>
        <v>12</v>
      </c>
      <c r="L23" s="97" t="s">
        <v>145</v>
      </c>
      <c r="M23" s="91">
        <f>numberto22(K23+K24)</f>
        <v>2</v>
      </c>
      <c r="N23" s="72" t="str">
        <f>IF(COUNTIF($K$6:$P$6,K23)&gt;0, "Да", "Нет")</f>
        <v>Нет</v>
      </c>
      <c r="O23" s="93">
        <f>ABS(numberto22(K23+NameArc*KarmicShadow($C$11,$E$14,VALUE($L$6))))</f>
        <v>21</v>
      </c>
      <c r="P23" s="61" t="str">
        <f>IF(COUNTIF($K$6:$P$6,O23)&gt;0, "Да", "Нет")</f>
        <v>Нет</v>
      </c>
      <c r="R23" s="16" t="s">
        <v>147</v>
      </c>
      <c r="S23" s="90">
        <f ca="1">numberto22((numberto22(S19)+numberto22(T19)+numberto22(SumNumbers(U19))))</f>
        <v>7</v>
      </c>
      <c r="T23" s="98" t="s">
        <v>148</v>
      </c>
      <c r="U23" s="92">
        <f ca="1">numberto22(ABS(S22-S23))</f>
        <v>4</v>
      </c>
      <c r="V23" s="17" t="str">
        <f ca="1">IF(COUNTIF($K$6:$P$6,S23)&gt;0, "Да", "Нет")</f>
        <v>Нет</v>
      </c>
      <c r="W23" s="94">
        <f ca="1">ABS(numberto22(S23+NameArc*KarmicShadow($C$11,DATE($U$17,$T$17,$S$17),VALUE($L$6))))</f>
        <v>16</v>
      </c>
      <c r="X23" s="18" t="str">
        <f ca="1">IF(COUNTIF($K$6:$P$6,W23)&gt;0, "Да", "Нет")</f>
        <v>Да</v>
      </c>
    </row>
    <row r="24" spans="2:24" ht="15.75" thickBot="1" x14ac:dyDescent="0.3">
      <c r="B24" s="75"/>
      <c r="C24" s="65"/>
      <c r="D24" s="811" t="s">
        <v>151</v>
      </c>
      <c r="E24" s="811"/>
      <c r="F24" s="65" t="s">
        <v>141</v>
      </c>
      <c r="G24" s="65" t="s">
        <v>142</v>
      </c>
      <c r="H24" s="104" t="s">
        <v>141</v>
      </c>
      <c r="J24" s="16" t="s">
        <v>147</v>
      </c>
      <c r="K24" s="90">
        <f>numberto22((numberto22($C$6)+numberto22(1)+numberto22(SumNumbers(O21))))</f>
        <v>12</v>
      </c>
      <c r="L24" s="98" t="s">
        <v>148</v>
      </c>
      <c r="M24" s="92">
        <f>numberto22(ABS(K23-K24))</f>
        <v>22</v>
      </c>
      <c r="N24" s="17" t="str">
        <f>IF(COUNTIF($K$6:$P$6,K24)&gt;0, "Да", "Нет")</f>
        <v>Нет</v>
      </c>
      <c r="O24" s="94">
        <f>ABS(numberto22(K24+NameArc*KarmicShadow($C$11,$E$14,VALUE($L$6))))</f>
        <v>21</v>
      </c>
      <c r="P24" s="18" t="str">
        <f>IF(COUNTIF($K$6:$P$6,O24)&gt;0, "Да", "Нет")</f>
        <v>Нет</v>
      </c>
      <c r="R24" s="75"/>
      <c r="S24" s="76">
        <f>DAY(T20+1)</f>
        <v>6</v>
      </c>
      <c r="T24" s="65">
        <f>MONTH(T20)</f>
        <v>12</v>
      </c>
      <c r="U24" s="65">
        <f>$U$17</f>
        <v>2022</v>
      </c>
      <c r="V24" s="76" t="s">
        <v>136</v>
      </c>
      <c r="W24" s="76">
        <f>YEAR(SolarDate($C$11,DATE($C$5,T24,S24)))</f>
        <v>2022</v>
      </c>
      <c r="X24" s="104"/>
    </row>
    <row r="25" spans="2:24" x14ac:dyDescent="0.25">
      <c r="B25" s="60" t="s">
        <v>144</v>
      </c>
      <c r="C25" s="89">
        <f>numberto22(SumNumbers(CONCATENATE($C$6,$C$7,YEAR(SolarDate($C$11,E23)))))</f>
        <v>14</v>
      </c>
      <c r="D25" s="97" t="s">
        <v>145</v>
      </c>
      <c r="E25" s="553">
        <f>numberto22(C25+C26)</f>
        <v>15</v>
      </c>
      <c r="F25" s="72" t="str">
        <f>IF(COUNTIF($K$6:$P$6,C25)&gt;0, "Да", "Нет")</f>
        <v>Нет</v>
      </c>
      <c r="G25" s="93">
        <f>ABS(numberto22(C25+NameArc*KarmicShadow($C$11,E23,VALUE($L$6))))</f>
        <v>1</v>
      </c>
      <c r="H25" s="61" t="str">
        <f>IF(COUNTIF($K$6:$P$6,G25)&gt;0, "Да", "Нет")</f>
        <v>Нет</v>
      </c>
      <c r="J25" s="75"/>
      <c r="K25" s="65"/>
      <c r="L25" s="65"/>
      <c r="M25" s="65"/>
      <c r="N25" s="65"/>
      <c r="O25" s="65"/>
      <c r="P25" s="104"/>
      <c r="Q25" s="24"/>
      <c r="R25" s="75" t="s">
        <v>137</v>
      </c>
      <c r="S25" s="76"/>
      <c r="T25" s="76">
        <f ca="1">DAY(EOMONTH(DATE(YEAR(TODAY()),T24,1),0))</f>
        <v>31</v>
      </c>
      <c r="U25" s="76"/>
      <c r="V25" s="76"/>
      <c r="W25" s="65"/>
      <c r="X25" s="104"/>
    </row>
    <row r="26" spans="2:24" ht="15.75" thickBot="1" x14ac:dyDescent="0.3">
      <c r="B26" s="16" t="s">
        <v>147</v>
      </c>
      <c r="C26" s="90">
        <f>numberto22((numberto22($C$6)+numberto22($C$7)+numberto22(SumNumbers(YEAR(SolarDate($C$11,E23))))))</f>
        <v>1</v>
      </c>
      <c r="D26" s="98" t="s">
        <v>148</v>
      </c>
      <c r="E26" s="554">
        <f>numberto22(ABS(C25-C26))</f>
        <v>13</v>
      </c>
      <c r="F26" s="17" t="str">
        <f>IF(COUNTIF($K$6:$P$6,C26)&gt;0, "Да", "Нет")</f>
        <v>Нет</v>
      </c>
      <c r="G26" s="94">
        <f>ABS(numberto22(C26+NameArc*KarmicShadow($C$11,E23,VALUE($L$6))))</f>
        <v>10</v>
      </c>
      <c r="H26" s="18" t="str">
        <f>IF(COUNTIF($K$6:$P$6,G26)&gt;0, "Да", "Нет")</f>
        <v>Нет</v>
      </c>
      <c r="J26" s="306" t="s">
        <v>157</v>
      </c>
      <c r="K26" s="76"/>
      <c r="L26" s="100" t="s">
        <v>150</v>
      </c>
      <c r="M26" s="809">
        <f>DATE($K$13,2,DAY(EOMONTH(DATE(YEAR($K$13),2,1),0)))</f>
        <v>44620</v>
      </c>
      <c r="N26" s="809"/>
      <c r="O26" s="76">
        <f>YEAR(SolarDate($C$11,M26))</f>
        <v>2021</v>
      </c>
      <c r="P26" s="104"/>
      <c r="Q26" s="24"/>
      <c r="R26" s="75"/>
      <c r="S26" s="76">
        <f ca="1">IF($S$16+S24&lt;=T25,$S$16+S24,($S$16+S24)-T25)</f>
        <v>12</v>
      </c>
      <c r="T26" s="76">
        <f>MONTH(T20)</f>
        <v>12</v>
      </c>
      <c r="U26" s="76">
        <f>YEAR(SolarDate($C$11,DATE(U24,T24,S24)))</f>
        <v>2022</v>
      </c>
      <c r="V26" s="76"/>
      <c r="W26" s="65"/>
      <c r="X26" s="104"/>
    </row>
    <row r="27" spans="2:24" ht="15.75" thickBot="1" x14ac:dyDescent="0.3">
      <c r="B27" s="105" t="s">
        <v>149</v>
      </c>
      <c r="C27" s="302">
        <f>YEAR(E27)</f>
        <v>2024</v>
      </c>
      <c r="D27" s="77" t="s">
        <v>168</v>
      </c>
      <c r="E27" s="809">
        <f>DATE(YEAR(E23)+1,MONTH(E23),DAY(E23))</f>
        <v>45571</v>
      </c>
      <c r="F27" s="809"/>
      <c r="G27" s="65"/>
      <c r="H27" s="104"/>
      <c r="J27" s="75"/>
      <c r="K27" s="76"/>
      <c r="L27" s="811" t="s">
        <v>151</v>
      </c>
      <c r="M27" s="811"/>
      <c r="N27" s="65" t="s">
        <v>141</v>
      </c>
      <c r="O27" s="65" t="s">
        <v>142</v>
      </c>
      <c r="P27" s="104" t="s">
        <v>141</v>
      </c>
      <c r="Q27" s="24"/>
      <c r="R27" s="105" t="s">
        <v>139</v>
      </c>
      <c r="T27" s="809">
        <f>DATE(U24,T24,S24)</f>
        <v>44901</v>
      </c>
      <c r="U27" s="809"/>
      <c r="W27" s="76"/>
      <c r="X27" s="104"/>
    </row>
    <row r="28" spans="2:24" ht="15.75" thickBot="1" x14ac:dyDescent="0.3">
      <c r="B28" s="75"/>
      <c r="C28" s="65"/>
      <c r="D28" s="811" t="s">
        <v>151</v>
      </c>
      <c r="E28" s="811"/>
      <c r="F28" s="65" t="s">
        <v>141</v>
      </c>
      <c r="G28" s="65" t="s">
        <v>142</v>
      </c>
      <c r="H28" s="104" t="s">
        <v>141</v>
      </c>
      <c r="J28" s="60" t="s">
        <v>144</v>
      </c>
      <c r="K28" s="89">
        <f>numberto22(SumNumbers(CONCATENATE($C$6,2,O26)))</f>
        <v>13</v>
      </c>
      <c r="L28" s="97" t="s">
        <v>145</v>
      </c>
      <c r="M28" s="91">
        <f>numberto22(K28+K29)</f>
        <v>4</v>
      </c>
      <c r="N28" s="72" t="str">
        <f>IF(COUNTIF($K$6:$P$6,K28)&gt;0, "Да", "Нет")</f>
        <v>Нет</v>
      </c>
      <c r="O28" s="93">
        <f>ABS(numberto22(K28+NameArc*KarmicShadow($C$11,$E$14,VALUE($L$6))))</f>
        <v>22</v>
      </c>
      <c r="P28" s="61" t="str">
        <f>IF(COUNTIF($K$6:$P$6,O28)&gt;0, "Да", "Нет")</f>
        <v>Да</v>
      </c>
      <c r="R28" s="106"/>
      <c r="S28" s="76"/>
      <c r="T28" s="810" t="s">
        <v>151</v>
      </c>
      <c r="U28" s="810"/>
      <c r="V28" s="76" t="s">
        <v>141</v>
      </c>
      <c r="W28" s="65" t="s">
        <v>142</v>
      </c>
      <c r="X28" s="104" t="s">
        <v>141</v>
      </c>
    </row>
    <row r="29" spans="2:24" ht="15.75" thickBot="1" x14ac:dyDescent="0.3">
      <c r="B29" s="60" t="s">
        <v>144</v>
      </c>
      <c r="C29" s="89">
        <f>numberto22(SumNumbers(CONCATENATE($C$6,$C$7,YEAR(SolarDate($C$11,E27)))))</f>
        <v>15</v>
      </c>
      <c r="D29" s="97" t="s">
        <v>145</v>
      </c>
      <c r="E29" s="553">
        <f>numberto22(C29+C30)</f>
        <v>17</v>
      </c>
      <c r="F29" s="72" t="str">
        <f>IF(COUNTIF($K$6:$P$6,C29)&gt;0, "Да", "Нет")</f>
        <v>Нет</v>
      </c>
      <c r="G29" s="93">
        <f>ABS(numberto22(C29+NameArc*KarmicShadow($C$11,E27,VALUE($L$6))))</f>
        <v>6</v>
      </c>
      <c r="H29" s="61" t="str">
        <f>IF(COUNTIF($K$6:$P$6,G29)&gt;0, "Да", "Нет")</f>
        <v>Нет</v>
      </c>
      <c r="J29" s="16" t="s">
        <v>147</v>
      </c>
      <c r="K29" s="90">
        <f>numberto22((numberto22($C$6)+numberto22(2)+numberto22(SumNumbers(O26))))</f>
        <v>13</v>
      </c>
      <c r="L29" s="98" t="s">
        <v>148</v>
      </c>
      <c r="M29" s="92">
        <f>numberto22(ABS(K28-K29))</f>
        <v>22</v>
      </c>
      <c r="N29" s="17" t="str">
        <f>IF(COUNTIF($K$6:$P$6,K29)&gt;0, "Да", "Нет")</f>
        <v>Нет</v>
      </c>
      <c r="O29" s="94">
        <f>ABS(numberto22(K29+NameArc*KarmicShadow($C$11,$E$14,VALUE($L$6))))</f>
        <v>22</v>
      </c>
      <c r="P29" s="18" t="str">
        <f>IF(COUNTIF($K$6:$P$6,O29)&gt;0, "Да", "Нет")</f>
        <v>Да</v>
      </c>
      <c r="R29" s="60" t="s">
        <v>144</v>
      </c>
      <c r="S29" s="89">
        <f ca="1">numberto22(SumNumbers(CONCATENATE(S26,T26,U26)))</f>
        <v>12</v>
      </c>
      <c r="T29" s="97" t="s">
        <v>145</v>
      </c>
      <c r="U29" s="91">
        <f ca="1">numberto22(S29+S30)</f>
        <v>20</v>
      </c>
      <c r="V29" s="72" t="str">
        <f ca="1">IF(COUNTIF($K$6:$P$6,S29)&gt;0, "Да", "Нет")</f>
        <v>Нет</v>
      </c>
      <c r="W29" s="93">
        <f ca="1">ABS(numberto22(S29+NameArc*KarmicShadow($C$11,DATE($U$17,$T$17,$S$17),VALUE($L$6))))</f>
        <v>21</v>
      </c>
      <c r="X29" s="61" t="str">
        <f ca="1">IF(COUNTIF($K$6:$P$6,W29)&gt;0, "Да", "Нет")</f>
        <v>Нет</v>
      </c>
    </row>
    <row r="30" spans="2:24" ht="15.75" thickBot="1" x14ac:dyDescent="0.3">
      <c r="B30" s="16" t="s">
        <v>147</v>
      </c>
      <c r="C30" s="90">
        <f>numberto22((numberto22($C$6)+numberto22($C$7)+numberto22(SumNumbers(YEAR(SolarDate($C$11,E27))))))</f>
        <v>2</v>
      </c>
      <c r="D30" s="98" t="s">
        <v>148</v>
      </c>
      <c r="E30" s="554">
        <f>numberto22(ABS(C29-C30))</f>
        <v>13</v>
      </c>
      <c r="F30" s="17" t="str">
        <f>IF(COUNTIF($K$6:$P$6,C30)&gt;0, "Да", "Нет")</f>
        <v>Нет</v>
      </c>
      <c r="G30" s="94">
        <f>ABS(numberto22(C30+NameArc*KarmicShadow($C$11,E27,VALUE($L$6))))</f>
        <v>7</v>
      </c>
      <c r="H30" s="18" t="str">
        <f>IF(COUNTIF($K$6:$P$6,G30)&gt;0, "Да", "Нет")</f>
        <v>Нет</v>
      </c>
      <c r="I30" s="65"/>
      <c r="J30" s="75"/>
      <c r="K30" s="65"/>
      <c r="L30" s="65"/>
      <c r="M30" s="65"/>
      <c r="N30" s="65"/>
      <c r="O30" s="65"/>
      <c r="P30" s="104"/>
      <c r="R30" s="16" t="s">
        <v>147</v>
      </c>
      <c r="S30" s="90">
        <f ca="1">numberto22((numberto22(S26)+numberto22(T26)+numberto22(SumNumbers(U26))))</f>
        <v>8</v>
      </c>
      <c r="T30" s="98" t="s">
        <v>148</v>
      </c>
      <c r="U30" s="92">
        <f ca="1">numberto22(ABS(S29-S30))</f>
        <v>4</v>
      </c>
      <c r="V30" s="17" t="str">
        <f ca="1">IF(COUNTIF($K$6:$P$6,S30)&gt;0, "Да", "Нет")</f>
        <v>Да</v>
      </c>
      <c r="W30" s="94">
        <f ca="1">ABS(numberto22(S30+NameArc*KarmicShadow($C$11,DATE($U$17,$T$17,$S$17),VALUE($L$6))))</f>
        <v>17</v>
      </c>
      <c r="X30" s="18" t="str">
        <f ca="1">IF(COUNTIF($K$6:$P$6,W30)&gt;0, "Да", "Нет")</f>
        <v>Нет</v>
      </c>
    </row>
    <row r="31" spans="2:24" x14ac:dyDescent="0.25">
      <c r="B31" s="105" t="s">
        <v>149</v>
      </c>
      <c r="C31" s="302">
        <f>YEAR(E31)</f>
        <v>2025</v>
      </c>
      <c r="D31" s="77" t="s">
        <v>168</v>
      </c>
      <c r="E31" s="809">
        <f>DATE(YEAR(E27)+1,MONTH(E27),DAY(E27))</f>
        <v>45936</v>
      </c>
      <c r="F31" s="809"/>
      <c r="G31" s="65"/>
      <c r="H31" s="104"/>
      <c r="I31" s="65"/>
      <c r="J31" s="306" t="s">
        <v>158</v>
      </c>
      <c r="K31" s="76"/>
      <c r="L31" s="100" t="s">
        <v>150</v>
      </c>
      <c r="M31" s="809">
        <f>DATE($K$13,3,DAY(EOMONTH(DATE(YEAR($K$13),3,1),0)))</f>
        <v>44651</v>
      </c>
      <c r="N31" s="809"/>
      <c r="O31" s="76">
        <f>YEAR(SolarDate($C$11,M31))</f>
        <v>2021</v>
      </c>
      <c r="P31" s="104"/>
      <c r="R31" s="75"/>
      <c r="S31" s="76">
        <f>DAY(DATE(YEAR(T27), MONTH(T27), DAY(T27) + 1))</f>
        <v>7</v>
      </c>
      <c r="T31" s="65">
        <f>MONTH(DATE(YEAR(T27), MONTH(T27), DAY(T27) + 1))</f>
        <v>12</v>
      </c>
      <c r="U31" s="65">
        <f>$U$17</f>
        <v>2022</v>
      </c>
      <c r="V31" s="76" t="s">
        <v>136</v>
      </c>
      <c r="W31" s="76">
        <f>YEAR(SolarDate($C$11,DATE($C$5,T31,S31)))</f>
        <v>2022</v>
      </c>
      <c r="X31" s="104"/>
    </row>
    <row r="32" spans="2:24" ht="15.75" thickBot="1" x14ac:dyDescent="0.3">
      <c r="B32" s="75"/>
      <c r="C32" s="65"/>
      <c r="D32" s="811" t="s">
        <v>151</v>
      </c>
      <c r="E32" s="811"/>
      <c r="F32" s="65" t="s">
        <v>141</v>
      </c>
      <c r="G32" s="65" t="s">
        <v>142</v>
      </c>
      <c r="H32" s="104" t="s">
        <v>141</v>
      </c>
      <c r="J32" s="75"/>
      <c r="K32" s="76"/>
      <c r="L32" s="811" t="s">
        <v>151</v>
      </c>
      <c r="M32" s="811"/>
      <c r="N32" s="65" t="s">
        <v>141</v>
      </c>
      <c r="O32" s="65" t="s">
        <v>142</v>
      </c>
      <c r="P32" s="104" t="s">
        <v>141</v>
      </c>
      <c r="Q32" s="24"/>
      <c r="R32" s="75" t="s">
        <v>137</v>
      </c>
      <c r="S32" s="76"/>
      <c r="T32" s="76">
        <f ca="1">DAY(EOMONTH(DATE(YEAR(TODAY()),T31,1),0))</f>
        <v>31</v>
      </c>
      <c r="U32" s="76"/>
      <c r="V32" s="76"/>
      <c r="W32" s="65"/>
      <c r="X32" s="104"/>
    </row>
    <row r="33" spans="2:24" x14ac:dyDescent="0.25">
      <c r="B33" s="60" t="s">
        <v>144</v>
      </c>
      <c r="C33" s="89">
        <f>numberto22(SumNumbers(CONCATENATE($C$6,$C$7,YEAR(SolarDate($C$11,E31)))))</f>
        <v>16</v>
      </c>
      <c r="D33" s="97" t="s">
        <v>145</v>
      </c>
      <c r="E33" s="553">
        <f>numberto22(C33+C34)</f>
        <v>19</v>
      </c>
      <c r="F33" s="72" t="str">
        <f>IF(COUNTIF($K$6:$P$6,C33)&gt;0, "Да", "Нет")</f>
        <v>Да</v>
      </c>
      <c r="G33" s="93">
        <f>ABS(numberto22(C33+NameArc*KarmicShadow($C$11,E31,VALUE($L$6))))</f>
        <v>7</v>
      </c>
      <c r="H33" s="61" t="str">
        <f>IF(COUNTIF($K$6:$P$6,G33)&gt;0, "Да", "Нет")</f>
        <v>Нет</v>
      </c>
      <c r="J33" s="60" t="s">
        <v>144</v>
      </c>
      <c r="K33" s="89">
        <f>numberto22(SumNumbers(CONCATENATE($C$6,3,O31)))</f>
        <v>14</v>
      </c>
      <c r="L33" s="97" t="s">
        <v>145</v>
      </c>
      <c r="M33" s="91">
        <f>numberto22(K33+K34)</f>
        <v>6</v>
      </c>
      <c r="N33" s="72" t="str">
        <f>IF(COUNTIF($K$6:$P$6,K33)&gt;0, "Да", "Нет")</f>
        <v>Нет</v>
      </c>
      <c r="O33" s="95">
        <f>ABS(numberto22(K33+NameArc*KarmicShadow($C$11,$E$14,VALUE($L$6))))</f>
        <v>1</v>
      </c>
      <c r="P33" s="61" t="str">
        <f>IF(COUNTIF($K$6:$P$6,O33)&gt;0, "Да", "Нет")</f>
        <v>Нет</v>
      </c>
      <c r="Q33" s="24"/>
      <c r="R33" s="75"/>
      <c r="S33" s="76">
        <f ca="1">IF($S$16+S31&lt;=T32,$S$16+S31,($S$16+S31)-T32)</f>
        <v>13</v>
      </c>
      <c r="T33" s="76">
        <f>MONTH(T27)</f>
        <v>12</v>
      </c>
      <c r="U33" s="76">
        <f>YEAR(SolarDate($C$11,DATE(U31,T31,S31)))</f>
        <v>2022</v>
      </c>
      <c r="V33" s="76"/>
      <c r="W33" s="65"/>
      <c r="X33" s="104"/>
    </row>
    <row r="34" spans="2:24" ht="15.75" thickBot="1" x14ac:dyDescent="0.3">
      <c r="B34" s="16" t="s">
        <v>147</v>
      </c>
      <c r="C34" s="90">
        <f>numberto22((numberto22($C$6)+numberto22($C$7)+numberto22(SumNumbers(YEAR(SolarDate($C$11,E31))))))</f>
        <v>3</v>
      </c>
      <c r="D34" s="98" t="s">
        <v>148</v>
      </c>
      <c r="E34" s="554">
        <f>numberto22(ABS(C33-C34))</f>
        <v>13</v>
      </c>
      <c r="F34" s="17" t="str">
        <f>IF(COUNTIF($K$6:$P$6,C34)&gt;0, "Да", "Нет")</f>
        <v>Нет</v>
      </c>
      <c r="G34" s="94">
        <f>ABS(numberto22(C34+NameArc*KarmicShadow($C$11,E31,VALUE($L$6))))</f>
        <v>6</v>
      </c>
      <c r="H34" s="18" t="str">
        <f>IF(COUNTIF($K$6:$P$6,G34)&gt;0, "Да", "Нет")</f>
        <v>Нет</v>
      </c>
      <c r="J34" s="16" t="s">
        <v>147</v>
      </c>
      <c r="K34" s="90">
        <f>numberto22((numberto22($C$6)+numberto22(3)+numberto22(SumNumbers(O31))))</f>
        <v>14</v>
      </c>
      <c r="L34" s="98" t="s">
        <v>148</v>
      </c>
      <c r="M34" s="92">
        <f>numberto22(ABS(K33-K34))</f>
        <v>22</v>
      </c>
      <c r="N34" s="17" t="str">
        <f>IF(COUNTIF($K$6:$P$6,K34)&gt;0, "Да", "Нет")</f>
        <v>Нет</v>
      </c>
      <c r="O34" s="96">
        <f>ABS(numberto22(K34+NameArc*KarmicShadow($C$11,$E$14,VALUE($L$6))))</f>
        <v>1</v>
      </c>
      <c r="P34" s="18" t="str">
        <f>IF(COUNTIF($K$6:$P$6,O34)&gt;0, "Да", "Нет")</f>
        <v>Нет</v>
      </c>
      <c r="Q34" s="24"/>
      <c r="R34" s="105" t="s">
        <v>139</v>
      </c>
      <c r="T34" s="809">
        <f>DATE(U31,T31,S31)</f>
        <v>44902</v>
      </c>
      <c r="U34" s="809"/>
      <c r="W34" s="76"/>
      <c r="X34" s="104"/>
    </row>
    <row r="35" spans="2:24" ht="15.75" thickBot="1" x14ac:dyDescent="0.3">
      <c r="B35" s="105" t="s">
        <v>149</v>
      </c>
      <c r="C35" s="302">
        <f>YEAR(E35)</f>
        <v>2026</v>
      </c>
      <c r="D35" s="77" t="s">
        <v>168</v>
      </c>
      <c r="E35" s="809">
        <f>DATE(YEAR(E31)+1,MONTH(E31),DAY(E31))</f>
        <v>46301</v>
      </c>
      <c r="F35" s="809"/>
      <c r="G35" s="65"/>
      <c r="H35" s="104"/>
      <c r="I35" s="65"/>
      <c r="J35" s="75"/>
      <c r="K35" s="65"/>
      <c r="L35" s="65"/>
      <c r="M35" s="65"/>
      <c r="N35" s="65"/>
      <c r="O35" s="65"/>
      <c r="P35" s="104"/>
      <c r="R35" s="106"/>
      <c r="S35" s="76"/>
      <c r="T35" s="810" t="s">
        <v>151</v>
      </c>
      <c r="U35" s="810"/>
      <c r="V35" s="76" t="s">
        <v>141</v>
      </c>
      <c r="W35" s="65" t="s">
        <v>142</v>
      </c>
      <c r="X35" s="104" t="s">
        <v>141</v>
      </c>
    </row>
    <row r="36" spans="2:24" ht="15.75" thickBot="1" x14ac:dyDescent="0.3">
      <c r="B36" s="75"/>
      <c r="C36" s="65"/>
      <c r="D36" s="811" t="s">
        <v>151</v>
      </c>
      <c r="E36" s="811"/>
      <c r="F36" s="65" t="s">
        <v>141</v>
      </c>
      <c r="G36" s="65" t="s">
        <v>142</v>
      </c>
      <c r="H36" s="104" t="s">
        <v>141</v>
      </c>
      <c r="I36" s="65"/>
      <c r="J36" s="306" t="s">
        <v>159</v>
      </c>
      <c r="K36" s="76"/>
      <c r="L36" s="100" t="s">
        <v>150</v>
      </c>
      <c r="M36" s="809">
        <f>DATE($K$13,4,DAY(EOMONTH(DATE(YEAR($K$13),4,1),0)))</f>
        <v>44681</v>
      </c>
      <c r="N36" s="809"/>
      <c r="O36" s="76">
        <f>YEAR(SolarDate($C$11,M36))</f>
        <v>2021</v>
      </c>
      <c r="P36" s="104"/>
      <c r="R36" s="60" t="s">
        <v>144</v>
      </c>
      <c r="S36" s="89">
        <f ca="1">numberto22(SumNumbers(CONCATENATE(S33,T33,U33)))</f>
        <v>13</v>
      </c>
      <c r="T36" s="97" t="s">
        <v>145</v>
      </c>
      <c r="U36" s="91">
        <f ca="1">numberto22(S36+S37)</f>
        <v>22</v>
      </c>
      <c r="V36" s="72" t="str">
        <f ca="1">IF(COUNTIF($K$6:$P$6,S36)&gt;0, "Да", "Нет")</f>
        <v>Нет</v>
      </c>
      <c r="W36" s="93">
        <f ca="1">ABS(numberto22(S36+NameArc*KarmicShadow($C$11,DATE($U$17,$T$17,$S$17),VALUE($L$6))))</f>
        <v>22</v>
      </c>
      <c r="X36" s="61" t="str">
        <f ca="1">IF(COUNTIF($K$6:$P$6,W36)&gt;0, "Да", "Нет")</f>
        <v>Да</v>
      </c>
    </row>
    <row r="37" spans="2:24" ht="15.75" thickBot="1" x14ac:dyDescent="0.3">
      <c r="B37" s="60" t="s">
        <v>144</v>
      </c>
      <c r="C37" s="89">
        <f>numberto22(SumNumbers(CONCATENATE($C$6,$C$7,YEAR(SolarDate($C$11,E35)))))</f>
        <v>17</v>
      </c>
      <c r="D37" s="97" t="s">
        <v>145</v>
      </c>
      <c r="E37" s="553">
        <f>numberto22(C37+C38)</f>
        <v>21</v>
      </c>
      <c r="F37" s="72" t="str">
        <f>IF(COUNTIF($K$6:$P$6,C37)&gt;0, "Да", "Нет")</f>
        <v>Нет</v>
      </c>
      <c r="G37" s="93">
        <f>ABS(numberto22(C37+NameArc*KarmicShadow($C$11,E35,VALUE($L$6))))</f>
        <v>8</v>
      </c>
      <c r="H37" s="61" t="str">
        <f>IF(COUNTIF($K$6:$P$6,G37)&gt;0, "Да", "Нет")</f>
        <v>Да</v>
      </c>
      <c r="J37" s="75"/>
      <c r="K37" s="76"/>
      <c r="L37" s="811" t="s">
        <v>151</v>
      </c>
      <c r="M37" s="811"/>
      <c r="N37" s="65" t="s">
        <v>141</v>
      </c>
      <c r="O37" s="65" t="s">
        <v>142</v>
      </c>
      <c r="P37" s="104" t="s">
        <v>141</v>
      </c>
      <c r="R37" s="16" t="s">
        <v>147</v>
      </c>
      <c r="S37" s="90">
        <f ca="1">numberto22((numberto22(S33)+numberto22(T33)+numberto22(SumNumbers(U33))))</f>
        <v>9</v>
      </c>
      <c r="T37" s="98" t="s">
        <v>148</v>
      </c>
      <c r="U37" s="92">
        <f ca="1">numberto22(ABS(S36-S37))</f>
        <v>4</v>
      </c>
      <c r="V37" s="17" t="str">
        <f ca="1">IF(COUNTIF($K$6:$P$6,S37)&gt;0, "Да", "Нет")</f>
        <v>Нет</v>
      </c>
      <c r="W37" s="94">
        <f ca="1">ABS(numberto22(S37+NameArc*KarmicShadow($C$11,DATE($U$17,$T$17,$S$17),VALUE($L$6))))</f>
        <v>18</v>
      </c>
      <c r="X37" s="18" t="str">
        <f ca="1">IF(COUNTIF($K$6:$P$6,W37)&gt;0, "Да", "Нет")</f>
        <v>Нет</v>
      </c>
    </row>
    <row r="38" spans="2:24" ht="15.75" thickBot="1" x14ac:dyDescent="0.3">
      <c r="B38" s="16" t="s">
        <v>147</v>
      </c>
      <c r="C38" s="90">
        <f>numberto22((numberto22($C$6)+numberto22($C$7)+numberto22(SumNumbers(YEAR(SolarDate($C$11,E35))))))</f>
        <v>4</v>
      </c>
      <c r="D38" s="98" t="s">
        <v>148</v>
      </c>
      <c r="E38" s="554">
        <f>numberto22(ABS(C37-C38))</f>
        <v>13</v>
      </c>
      <c r="F38" s="17" t="str">
        <f>IF(COUNTIF($K$6:$P$6,C38)&gt;0, "Да", "Нет")</f>
        <v>Да</v>
      </c>
      <c r="G38" s="94">
        <f>ABS(numberto22(C38+NameArc*KarmicShadow($C$11,E35,VALUE($L$6))))</f>
        <v>5</v>
      </c>
      <c r="H38" s="18" t="str">
        <f>IF(COUNTIF($K$6:$P$6,G38)&gt;0, "Да", "Нет")</f>
        <v>Нет</v>
      </c>
      <c r="J38" s="60" t="s">
        <v>144</v>
      </c>
      <c r="K38" s="89">
        <f>numberto22(SumNumbers(CONCATENATE($C$6,4,O36)))</f>
        <v>15</v>
      </c>
      <c r="L38" s="97" t="s">
        <v>145</v>
      </c>
      <c r="M38" s="91">
        <f>numberto22(K38+K39)</f>
        <v>8</v>
      </c>
      <c r="N38" s="72" t="str">
        <f>IF(COUNTIF($K$6:$P$6,K38)&gt;0, "Да", "Нет")</f>
        <v>Нет</v>
      </c>
      <c r="O38" s="93">
        <f>ABS(numberto22(K38+NameArc*KarmicShadow($C$11,$E$14,VALUE($L$6))))</f>
        <v>2</v>
      </c>
      <c r="P38" s="61" t="str">
        <f>IF(COUNTIF($K$6:$P$6,O38)&gt;0, "Да", "Нет")</f>
        <v>Нет</v>
      </c>
      <c r="R38" s="75"/>
      <c r="S38" s="76">
        <f>DAY(DATE(YEAR(T34), MONTH(T34), DAY(T34) + 1))</f>
        <v>8</v>
      </c>
      <c r="T38" s="65">
        <f>MONTH(DATE(YEAR(T34), MONTH(T34), DAY(T34) + 1))</f>
        <v>12</v>
      </c>
      <c r="U38" s="65">
        <f>$U$17</f>
        <v>2022</v>
      </c>
      <c r="V38" s="76" t="s">
        <v>136</v>
      </c>
      <c r="W38" s="76">
        <f>YEAR(SolarDate($C$11,DATE($C$5,T38,S38)))</f>
        <v>2022</v>
      </c>
      <c r="X38" s="104"/>
    </row>
    <row r="39" spans="2:24" ht="15.75" thickBot="1" x14ac:dyDescent="0.3">
      <c r="B39" s="105" t="s">
        <v>149</v>
      </c>
      <c r="C39" s="302">
        <f>YEAR(E39)</f>
        <v>2027</v>
      </c>
      <c r="D39" s="77" t="s">
        <v>168</v>
      </c>
      <c r="E39" s="809">
        <f>DATE(YEAR(E35)+1,MONTH(E35),DAY(E35))</f>
        <v>46666</v>
      </c>
      <c r="F39" s="809"/>
      <c r="G39" s="65"/>
      <c r="H39" s="104"/>
      <c r="J39" s="16" t="s">
        <v>147</v>
      </c>
      <c r="K39" s="90">
        <f>numberto22((numberto22($C$6)+numberto22(4)+numberto22(SumNumbers(O36))))</f>
        <v>15</v>
      </c>
      <c r="L39" s="98" t="s">
        <v>148</v>
      </c>
      <c r="M39" s="92">
        <f>numberto22(ABS(K38-K39))</f>
        <v>22</v>
      </c>
      <c r="N39" s="17" t="str">
        <f>IF(COUNTIF($K$6:$P$6,K39)&gt;0, "Да", "Нет")</f>
        <v>Нет</v>
      </c>
      <c r="O39" s="94">
        <f>ABS(numberto22(K39+NameArc*KarmicShadow($C$11,$E$14,VALUE($L$6))))</f>
        <v>2</v>
      </c>
      <c r="P39" s="18" t="str">
        <f>IF(COUNTIF($K$6:$P$6,O39)&gt;0, "Да", "Нет")</f>
        <v>Нет</v>
      </c>
      <c r="R39" s="75" t="s">
        <v>137</v>
      </c>
      <c r="S39" s="76"/>
      <c r="T39" s="76">
        <f ca="1">DAY(EOMONTH(DATE(YEAR(TODAY()),T38,1),0))</f>
        <v>31</v>
      </c>
      <c r="U39" s="76"/>
      <c r="V39" s="76"/>
      <c r="W39" s="65"/>
      <c r="X39" s="104"/>
    </row>
    <row r="40" spans="2:24" ht="15.75" thickBot="1" x14ac:dyDescent="0.3">
      <c r="B40" s="75"/>
      <c r="C40" s="65"/>
      <c r="D40" s="811" t="s">
        <v>151</v>
      </c>
      <c r="E40" s="811"/>
      <c r="F40" s="65" t="s">
        <v>141</v>
      </c>
      <c r="G40" s="65" t="s">
        <v>142</v>
      </c>
      <c r="H40" s="104" t="s">
        <v>141</v>
      </c>
      <c r="I40" s="65"/>
      <c r="J40" s="75"/>
      <c r="K40" s="65"/>
      <c r="L40" s="65"/>
      <c r="M40" s="65"/>
      <c r="N40" s="65"/>
      <c r="O40" s="65"/>
      <c r="P40" s="104"/>
      <c r="R40" s="75"/>
      <c r="S40" s="76">
        <f ca="1">IF($S$16+S38&lt;=T39,$S$16+S38,($S$16+S38)-T39)</f>
        <v>14</v>
      </c>
      <c r="T40" s="76">
        <f>MONTH(T34)</f>
        <v>12</v>
      </c>
      <c r="U40" s="76">
        <f>YEAR(SolarDate($C$11,DATE(U38,T38,S38)))</f>
        <v>2022</v>
      </c>
      <c r="V40" s="76"/>
      <c r="W40" s="65"/>
      <c r="X40" s="104"/>
    </row>
    <row r="41" spans="2:24" x14ac:dyDescent="0.25">
      <c r="B41" s="60" t="s">
        <v>144</v>
      </c>
      <c r="C41" s="89">
        <f>numberto22(SumNumbers(CONCATENATE($C$6,$C$7,YEAR(SolarDate($C$11,E39)))))</f>
        <v>18</v>
      </c>
      <c r="D41" s="97" t="s">
        <v>145</v>
      </c>
      <c r="E41" s="553">
        <f>numberto22(C41+C42)</f>
        <v>1</v>
      </c>
      <c r="F41" s="72" t="str">
        <f>IF(COUNTIF($K$6:$P$6,C41)&gt;0, "Да", "Нет")</f>
        <v>Нет</v>
      </c>
      <c r="G41" s="93">
        <f>ABS(numberto22(C41+NameArc*KarmicShadow($C$11,E39,VALUE($L$6))))</f>
        <v>9</v>
      </c>
      <c r="H41" s="61" t="str">
        <f>IF(COUNTIF($K$6:$P$6,G41)&gt;0, "Да", "Нет")</f>
        <v>Нет</v>
      </c>
      <c r="J41" s="306" t="s">
        <v>160</v>
      </c>
      <c r="K41" s="76"/>
      <c r="L41" s="100" t="s">
        <v>150</v>
      </c>
      <c r="M41" s="809">
        <f>DATE($K$13,5,DAY(EOMONTH(DATE(YEAR($K$13),5,1),0)))</f>
        <v>44712</v>
      </c>
      <c r="N41" s="809"/>
      <c r="O41" s="76">
        <f>YEAR(SolarDate($C$11,M41))</f>
        <v>2021</v>
      </c>
      <c r="P41" s="104"/>
      <c r="R41" s="105" t="s">
        <v>139</v>
      </c>
      <c r="T41" s="809">
        <f>DATE(U38,T38,S38)</f>
        <v>44903</v>
      </c>
      <c r="U41" s="809"/>
      <c r="W41" s="76"/>
      <c r="X41" s="104"/>
    </row>
    <row r="42" spans="2:24" ht="15.75" thickBot="1" x14ac:dyDescent="0.3">
      <c r="B42" s="16" t="s">
        <v>147</v>
      </c>
      <c r="C42" s="90">
        <f>numberto22((numberto22($C$6)+numberto22($C$7)+numberto22(SumNumbers(YEAR(SolarDate($C$11,E39))))))</f>
        <v>5</v>
      </c>
      <c r="D42" s="98" t="s">
        <v>148</v>
      </c>
      <c r="E42" s="554">
        <f>numberto22(ABS(C41-C42))</f>
        <v>13</v>
      </c>
      <c r="F42" s="17" t="str">
        <f>IF(COUNTIF($K$6:$P$6,C42)&gt;0, "Да", "Нет")</f>
        <v>Нет</v>
      </c>
      <c r="G42" s="94">
        <f>ABS(numberto22(C42+NameArc*KarmicShadow($C$11,E39,VALUE($L$6))))</f>
        <v>4</v>
      </c>
      <c r="H42" s="18" t="str">
        <f>IF(COUNTIF($K$6:$P$6,G42)&gt;0, "Да", "Нет")</f>
        <v>Да</v>
      </c>
      <c r="J42" s="75"/>
      <c r="K42" s="76"/>
      <c r="L42" s="811" t="s">
        <v>151</v>
      </c>
      <c r="M42" s="811"/>
      <c r="N42" s="65" t="s">
        <v>141</v>
      </c>
      <c r="O42" s="65" t="s">
        <v>142</v>
      </c>
      <c r="P42" s="104" t="s">
        <v>141</v>
      </c>
      <c r="R42" s="106"/>
      <c r="S42" s="76"/>
      <c r="T42" s="810" t="s">
        <v>151</v>
      </c>
      <c r="U42" s="810"/>
      <c r="V42" s="76" t="s">
        <v>141</v>
      </c>
      <c r="W42" s="65" t="s">
        <v>142</v>
      </c>
      <c r="X42" s="104" t="s">
        <v>141</v>
      </c>
    </row>
    <row r="43" spans="2:24" x14ac:dyDescent="0.25">
      <c r="B43" s="105" t="s">
        <v>149</v>
      </c>
      <c r="C43" s="302">
        <f>YEAR(E43)</f>
        <v>2028</v>
      </c>
      <c r="D43" s="77" t="s">
        <v>168</v>
      </c>
      <c r="E43" s="809">
        <f>DATE(YEAR(E39)+1,MONTH(E39),DAY(E39))</f>
        <v>47032</v>
      </c>
      <c r="F43" s="809"/>
      <c r="G43" s="65"/>
      <c r="H43" s="104"/>
      <c r="J43" s="60" t="s">
        <v>144</v>
      </c>
      <c r="K43" s="89">
        <f>numberto22(SumNumbers(CONCATENATE($C$6,5,O41)))</f>
        <v>16</v>
      </c>
      <c r="L43" s="97" t="s">
        <v>145</v>
      </c>
      <c r="M43" s="91">
        <f>numberto22(K43+K44)</f>
        <v>10</v>
      </c>
      <c r="N43" s="72" t="str">
        <f>IF(COUNTIF($K$6:$P$6,K43)&gt;0, "Да", "Нет")</f>
        <v>Да</v>
      </c>
      <c r="O43" s="93">
        <f>ABS(numberto22(K43+NameArc*KarmicShadow($C$11,$E$14,VALUE($L$6))))</f>
        <v>3</v>
      </c>
      <c r="P43" s="61" t="str">
        <f>IF(COUNTIF($K$6:$P$6,O43)&gt;0, "Да", "Нет")</f>
        <v>Нет</v>
      </c>
      <c r="R43" s="60" t="s">
        <v>144</v>
      </c>
      <c r="S43" s="89">
        <f ca="1">numberto22(SumNumbers(CONCATENATE(S40,T40,U40)))</f>
        <v>14</v>
      </c>
      <c r="T43" s="97" t="s">
        <v>145</v>
      </c>
      <c r="U43" s="91">
        <f ca="1">numberto22(S43+S44)</f>
        <v>2</v>
      </c>
      <c r="V43" s="72" t="str">
        <f ca="1">IF(COUNTIF($K$6:$P$6,S43)&gt;0, "Да", "Нет")</f>
        <v>Нет</v>
      </c>
      <c r="W43" s="93">
        <f ca="1">ABS(numberto22(S43+NameArc*KarmicShadow($C$11,DATE($U$17,$T$17,$S$17),VALUE($L$6))))</f>
        <v>1</v>
      </c>
      <c r="X43" s="61" t="str">
        <f ca="1">IF(COUNTIF($K$6:$P$6,W43)&gt;0, "Да", "Нет")</f>
        <v>Нет</v>
      </c>
    </row>
    <row r="44" spans="2:24" ht="15.75" thickBot="1" x14ac:dyDescent="0.3">
      <c r="B44" s="75"/>
      <c r="C44" s="65"/>
      <c r="D44" s="811" t="s">
        <v>151</v>
      </c>
      <c r="E44" s="811"/>
      <c r="F44" s="65" t="s">
        <v>141</v>
      </c>
      <c r="G44" s="65" t="s">
        <v>142</v>
      </c>
      <c r="H44" s="104" t="s">
        <v>141</v>
      </c>
      <c r="I44" s="65"/>
      <c r="J44" s="16" t="s">
        <v>147</v>
      </c>
      <c r="K44" s="90">
        <f>numberto22((numberto22($C$6)+numberto22(5)+numberto22(SumNumbers(O41))))</f>
        <v>16</v>
      </c>
      <c r="L44" s="98" t="s">
        <v>148</v>
      </c>
      <c r="M44" s="92">
        <f>numberto22(ABS(K43-K44))</f>
        <v>22</v>
      </c>
      <c r="N44" s="17" t="str">
        <f>IF(COUNTIF($K$6:$P$6,K44)&gt;0, "Да", "Нет")</f>
        <v>Да</v>
      </c>
      <c r="O44" s="94">
        <f>ABS(numberto22(K44+NameArc*KarmicShadow($C$11,$E$14,VALUE($L$6))))</f>
        <v>3</v>
      </c>
      <c r="P44" s="18" t="str">
        <f>IF(COUNTIF($K$6:$P$6,O44)&gt;0, "Да", "Нет")</f>
        <v>Нет</v>
      </c>
      <c r="R44" s="16" t="s">
        <v>147</v>
      </c>
      <c r="S44" s="90">
        <f ca="1">numberto22((numberto22(S40)+numberto22(T40)+numberto22(SumNumbers(U40))))</f>
        <v>10</v>
      </c>
      <c r="T44" s="98" t="s">
        <v>148</v>
      </c>
      <c r="U44" s="92">
        <f ca="1">numberto22(ABS(S43-S44))</f>
        <v>4</v>
      </c>
      <c r="V44" s="17" t="str">
        <f ca="1">IF(COUNTIF($K$6:$P$6,S44)&gt;0, "Да", "Нет")</f>
        <v>Нет</v>
      </c>
      <c r="W44" s="94">
        <f ca="1">ABS(numberto22(S44+NameArc*KarmicShadow($C$11,DATE($U$17,$T$17,$S$17),VALUE($L$6))))</f>
        <v>19</v>
      </c>
      <c r="X44" s="18" t="str">
        <f ca="1">IF(COUNTIF($K$6:$P$6,W44)&gt;0, "Да", "Нет")</f>
        <v>Нет</v>
      </c>
    </row>
    <row r="45" spans="2:24" x14ac:dyDescent="0.25">
      <c r="B45" s="60" t="s">
        <v>144</v>
      </c>
      <c r="C45" s="89">
        <f>numberto22(SumNumbers(CONCATENATE($C$6,$C$7,YEAR(SolarDate($C$11,E43)))))</f>
        <v>19</v>
      </c>
      <c r="D45" s="97" t="s">
        <v>145</v>
      </c>
      <c r="E45" s="553">
        <f>numberto22(C45+C46)</f>
        <v>3</v>
      </c>
      <c r="F45" s="72" t="str">
        <f>IF(COUNTIF($K$6:$P$6,C45)&gt;0, "Да", "Нет")</f>
        <v>Нет</v>
      </c>
      <c r="G45" s="93">
        <f>ABS(numberto22(C45+NameArc*KarmicShadow($C$11,E43,VALUE($L$6))))</f>
        <v>6</v>
      </c>
      <c r="H45" s="61" t="str">
        <f>IF(COUNTIF($K$6:$P$6,G45)&gt;0, "Да", "Нет")</f>
        <v>Нет</v>
      </c>
      <c r="I45" s="65"/>
      <c r="J45" s="75"/>
      <c r="K45" s="65"/>
      <c r="L45" s="65"/>
      <c r="M45" s="65"/>
      <c r="N45" s="65"/>
      <c r="O45" s="65"/>
      <c r="P45" s="104"/>
      <c r="R45" s="75"/>
      <c r="S45" s="76">
        <f>DAY(DATE(YEAR(T41), MONTH(T41), DAY(T41) + 1))</f>
        <v>9</v>
      </c>
      <c r="T45" s="65">
        <f>MONTH(DATE(YEAR(T41), MONTH(T41), DAY(T41) + 1))</f>
        <v>12</v>
      </c>
      <c r="U45" s="65">
        <f>$U$17</f>
        <v>2022</v>
      </c>
      <c r="V45" s="76" t="s">
        <v>136</v>
      </c>
      <c r="W45" s="76">
        <f>YEAR(SolarDate($C$11,DATE($C$5,T45,S45)))</f>
        <v>2022</v>
      </c>
      <c r="X45" s="104"/>
    </row>
    <row r="46" spans="2:24" ht="15.75" thickBot="1" x14ac:dyDescent="0.3">
      <c r="B46" s="16" t="s">
        <v>147</v>
      </c>
      <c r="C46" s="90">
        <f>numberto22((numberto22($C$6)+numberto22($C$7)+numberto22(SumNumbers(YEAR(SolarDate($C$11,E43))))))</f>
        <v>6</v>
      </c>
      <c r="D46" s="98" t="s">
        <v>148</v>
      </c>
      <c r="E46" s="554">
        <f>numberto22(ABS(C45-C46))</f>
        <v>13</v>
      </c>
      <c r="F46" s="17" t="str">
        <f>IF(COUNTIF($K$6:$P$6,C46)&gt;0, "Да", "Нет")</f>
        <v>Нет</v>
      </c>
      <c r="G46" s="94">
        <f>ABS(numberto22(C46+NameArc*KarmicShadow($C$11,E43,VALUE($L$6))))</f>
        <v>15</v>
      </c>
      <c r="H46" s="18" t="str">
        <f>IF(COUNTIF($K$6:$P$6,G46)&gt;0, "Да", "Нет")</f>
        <v>Нет</v>
      </c>
      <c r="I46" s="65"/>
      <c r="J46" s="306" t="s">
        <v>161</v>
      </c>
      <c r="K46" s="76"/>
      <c r="L46" s="100" t="s">
        <v>150</v>
      </c>
      <c r="M46" s="809">
        <f>DATE($K$13,6,DAY(EOMONTH(DATE(YEAR($K$13),6,1),0)))</f>
        <v>44742</v>
      </c>
      <c r="N46" s="809"/>
      <c r="O46" s="76">
        <f>YEAR(SolarDate($C$11,M46))</f>
        <v>2021</v>
      </c>
      <c r="P46" s="104"/>
      <c r="R46" s="75" t="s">
        <v>137</v>
      </c>
      <c r="S46" s="76"/>
      <c r="T46" s="76">
        <f ca="1">DAY(EOMONTH(DATE(YEAR(TODAY()),T45,1),0))</f>
        <v>31</v>
      </c>
      <c r="U46" s="76"/>
      <c r="V46" s="76"/>
      <c r="W46" s="65"/>
      <c r="X46" s="104"/>
    </row>
    <row r="47" spans="2:24" ht="15.75" thickBot="1" x14ac:dyDescent="0.3">
      <c r="B47" s="105" t="s">
        <v>149</v>
      </c>
      <c r="C47" s="302">
        <f>YEAR(E47)</f>
        <v>2029</v>
      </c>
      <c r="D47" s="77" t="s">
        <v>168</v>
      </c>
      <c r="E47" s="809">
        <f>DATE(YEAR(E43)+1,MONTH(E43),DAY(E43))</f>
        <v>47397</v>
      </c>
      <c r="F47" s="809"/>
      <c r="G47" s="65"/>
      <c r="H47" s="104"/>
      <c r="I47" s="65"/>
      <c r="J47" s="75"/>
      <c r="K47" s="76"/>
      <c r="L47" s="811" t="s">
        <v>151</v>
      </c>
      <c r="M47" s="811"/>
      <c r="N47" s="65" t="s">
        <v>141</v>
      </c>
      <c r="O47" s="65" t="s">
        <v>142</v>
      </c>
      <c r="P47" s="104" t="s">
        <v>141</v>
      </c>
      <c r="R47" s="75"/>
      <c r="S47" s="76">
        <f ca="1">IF($S$16+S45&lt;=T46,$S$16+S45,($S$16+S45)-T46)</f>
        <v>15</v>
      </c>
      <c r="T47" s="76">
        <f>MONTH(T41)</f>
        <v>12</v>
      </c>
      <c r="U47" s="76">
        <f>YEAR(SolarDate($C$11,DATE(U45,T45,S45)))</f>
        <v>2022</v>
      </c>
      <c r="V47" s="76"/>
      <c r="W47" s="65"/>
      <c r="X47" s="104"/>
    </row>
    <row r="48" spans="2:24" ht="15.75" thickBot="1" x14ac:dyDescent="0.3">
      <c r="B48" s="75"/>
      <c r="C48" s="65"/>
      <c r="D48" s="811" t="s">
        <v>151</v>
      </c>
      <c r="E48" s="811"/>
      <c r="F48" s="65" t="s">
        <v>141</v>
      </c>
      <c r="G48" s="65" t="s">
        <v>142</v>
      </c>
      <c r="H48" s="104" t="s">
        <v>141</v>
      </c>
      <c r="J48" s="60" t="s">
        <v>144</v>
      </c>
      <c r="K48" s="89">
        <f>numberto22(SumNumbers(CONCATENATE($C$6,6,O46)))</f>
        <v>17</v>
      </c>
      <c r="L48" s="97" t="s">
        <v>145</v>
      </c>
      <c r="M48" s="91">
        <f>numberto22(K48+K49)</f>
        <v>12</v>
      </c>
      <c r="N48" s="72" t="str">
        <f>IF(COUNTIF($K$6:$P$6,K48)&gt;0, "Да", "Нет")</f>
        <v>Нет</v>
      </c>
      <c r="O48" s="93">
        <f>ABS(numberto22(K48+NameArc*KarmicShadow($C$11,$E$14,VALUE($L$6))))</f>
        <v>4</v>
      </c>
      <c r="P48" s="61" t="str">
        <f>IF(COUNTIF($K$6:$P$6,O48)&gt;0, "Да", "Нет")</f>
        <v>Да</v>
      </c>
      <c r="R48" s="105" t="s">
        <v>139</v>
      </c>
      <c r="T48" s="809">
        <f>DATE(U45,T45,S45)</f>
        <v>44904</v>
      </c>
      <c r="U48" s="809"/>
      <c r="W48" s="76"/>
      <c r="X48" s="104"/>
    </row>
    <row r="49" spans="2:24" ht="15.75" thickBot="1" x14ac:dyDescent="0.3">
      <c r="B49" s="60" t="s">
        <v>144</v>
      </c>
      <c r="C49" s="89">
        <f>numberto22(SumNumbers(CONCATENATE($C$6,$C$7,YEAR(SolarDate($C$11,E47)))))</f>
        <v>20</v>
      </c>
      <c r="D49" s="97" t="s">
        <v>145</v>
      </c>
      <c r="E49" s="553">
        <f>numberto22(C49+C50)</f>
        <v>5</v>
      </c>
      <c r="F49" s="72" t="str">
        <f>IF(COUNTIF($K$6:$P$6,C49)&gt;0, "Да", "Нет")</f>
        <v>Нет</v>
      </c>
      <c r="G49" s="93">
        <f>ABS(numberto22(C49+NameArc*KarmicShadow($C$11,$E$19,VALUE($L$6))))</f>
        <v>7</v>
      </c>
      <c r="H49" s="61" t="str">
        <f>IF(COUNTIF($K$6:$P$6,G49)&gt;0, "Да", "Нет")</f>
        <v>Нет</v>
      </c>
      <c r="J49" s="16" t="s">
        <v>147</v>
      </c>
      <c r="K49" s="90">
        <f>numberto22((numberto22($C$6)+numberto22(6)+numberto22(SumNumbers(O46))))</f>
        <v>17</v>
      </c>
      <c r="L49" s="98" t="s">
        <v>148</v>
      </c>
      <c r="M49" s="92">
        <f>numberto22(ABS(K48-K49))</f>
        <v>22</v>
      </c>
      <c r="N49" s="17" t="str">
        <f>IF(COUNTIF($K$6:$P$6,K49)&gt;0, "Да", "Нет")</f>
        <v>Нет</v>
      </c>
      <c r="O49" s="94">
        <f>ABS(numberto22(K49+NameArc*KarmicShadow($C$11,$E$14,VALUE($L$6))))</f>
        <v>4</v>
      </c>
      <c r="P49" s="18" t="str">
        <f>IF(COUNTIF($K$6:$P$6,O49)&gt;0, "Да", "Нет")</f>
        <v>Да</v>
      </c>
      <c r="R49" s="106"/>
      <c r="S49" s="76"/>
      <c r="T49" s="810" t="s">
        <v>151</v>
      </c>
      <c r="U49" s="810"/>
      <c r="V49" s="76" t="s">
        <v>141</v>
      </c>
      <c r="W49" s="65" t="s">
        <v>142</v>
      </c>
      <c r="X49" s="104" t="s">
        <v>141</v>
      </c>
    </row>
    <row r="50" spans="2:24" ht="15.75" thickBot="1" x14ac:dyDescent="0.3">
      <c r="B50" s="16" t="s">
        <v>147</v>
      </c>
      <c r="C50" s="90">
        <f>numberto22((numberto22($C$6)+numberto22($C$7)+numberto22(SumNumbers(YEAR(SolarDate($C$11,E47))))))</f>
        <v>7</v>
      </c>
      <c r="D50" s="98" t="s">
        <v>148</v>
      </c>
      <c r="E50" s="554">
        <f>numberto22(ABS(C49-C50))</f>
        <v>13</v>
      </c>
      <c r="F50" s="17" t="str">
        <f>IF(COUNTIF($K$6:$P$6,C50)&gt;0, "Да", "Нет")</f>
        <v>Нет</v>
      </c>
      <c r="G50" s="94">
        <f>ABS(numberto22(C50+NameArc*KarmicShadow($C$11,$E$19,VALUE($L$6))))</f>
        <v>16</v>
      </c>
      <c r="H50" s="18" t="str">
        <f>IF(COUNTIF($K$6:$P$6,G50)&gt;0, "Да", "Нет")</f>
        <v>Да</v>
      </c>
      <c r="J50" s="75"/>
      <c r="K50" s="65"/>
      <c r="L50" s="65"/>
      <c r="M50" s="65"/>
      <c r="N50" s="65"/>
      <c r="O50" s="65"/>
      <c r="P50" s="104"/>
      <c r="R50" s="60" t="s">
        <v>144</v>
      </c>
      <c r="S50" s="89">
        <f ca="1">numberto22(SumNumbers(CONCATENATE(S47,T47,U47)))</f>
        <v>15</v>
      </c>
      <c r="T50" s="97" t="s">
        <v>145</v>
      </c>
      <c r="U50" s="91">
        <f ca="1">numberto22(S50+S51)</f>
        <v>4</v>
      </c>
      <c r="V50" s="72" t="str">
        <f ca="1">IF(COUNTIF($K$6:$P$6,S50)&gt;0, "Да", "Нет")</f>
        <v>Нет</v>
      </c>
      <c r="W50" s="93">
        <f ca="1">ABS(numberto22(S50+NameArc*KarmicShadow($C$11,DATE($U$17,$T$17,$S$17),VALUE($L$6))))</f>
        <v>2</v>
      </c>
      <c r="X50" s="61" t="str">
        <f ca="1">IF(COUNTIF($K$6:$P$6,W50)&gt;0, "Да", "Нет")</f>
        <v>Нет</v>
      </c>
    </row>
    <row r="51" spans="2:24" ht="15.75" thickBot="1" x14ac:dyDescent="0.3">
      <c r="B51" s="105" t="s">
        <v>149</v>
      </c>
      <c r="C51" s="302">
        <f>YEAR(E51)</f>
        <v>2030</v>
      </c>
      <c r="D51" s="77" t="s">
        <v>168</v>
      </c>
      <c r="E51" s="809">
        <f>DATE(YEAR(E47)+1,MONTH(E47),DAY(E47))</f>
        <v>47762</v>
      </c>
      <c r="F51" s="809"/>
      <c r="G51" s="65"/>
      <c r="H51" s="104"/>
      <c r="J51" s="306" t="s">
        <v>162</v>
      </c>
      <c r="K51" s="76"/>
      <c r="L51" s="100" t="s">
        <v>150</v>
      </c>
      <c r="M51" s="809">
        <f>DATE($K$13,7,DAY(EOMONTH(DATE(YEAR($K$13),7,1),0)))</f>
        <v>44773</v>
      </c>
      <c r="N51" s="809"/>
      <c r="O51" s="76">
        <f>YEAR(SolarDate($C$11,M51))</f>
        <v>2021</v>
      </c>
      <c r="P51" s="104"/>
      <c r="R51" s="16" t="s">
        <v>147</v>
      </c>
      <c r="S51" s="90">
        <f ca="1">numberto22((numberto22(S47)+numberto22(T47)+numberto22(SumNumbers(U47))))</f>
        <v>11</v>
      </c>
      <c r="T51" s="98" t="s">
        <v>148</v>
      </c>
      <c r="U51" s="92">
        <f ca="1">numberto22(ABS(S50-S51))</f>
        <v>4</v>
      </c>
      <c r="V51" s="17" t="str">
        <f ca="1">IF(COUNTIF($K$6:$P$6,S51)&gt;0, "Да", "Нет")</f>
        <v>Нет</v>
      </c>
      <c r="W51" s="94">
        <f ca="1">ABS(numberto22(S51+NameArc*KarmicShadow($C$11,DATE($U$17,$T$17,$S$17),VALUE($L$6))))</f>
        <v>20</v>
      </c>
      <c r="X51" s="18" t="str">
        <f ca="1">IF(COUNTIF($K$6:$P$6,W51)&gt;0, "Да", "Нет")</f>
        <v>Нет</v>
      </c>
    </row>
    <row r="52" spans="2:24" ht="15.75" thickBot="1" x14ac:dyDescent="0.3">
      <c r="B52" s="75"/>
      <c r="C52" s="65"/>
      <c r="D52" s="811" t="s">
        <v>151</v>
      </c>
      <c r="E52" s="811"/>
      <c r="F52" s="65" t="s">
        <v>141</v>
      </c>
      <c r="G52" s="65" t="s">
        <v>142</v>
      </c>
      <c r="H52" s="104" t="s">
        <v>141</v>
      </c>
      <c r="I52" s="65"/>
      <c r="J52" s="75"/>
      <c r="K52" s="76"/>
      <c r="L52" s="811" t="s">
        <v>151</v>
      </c>
      <c r="M52" s="811"/>
      <c r="N52" s="65" t="s">
        <v>141</v>
      </c>
      <c r="O52" s="65" t="s">
        <v>142</v>
      </c>
      <c r="P52" s="104" t="s">
        <v>141</v>
      </c>
      <c r="R52" s="75"/>
      <c r="S52" s="76">
        <f>DAY(DATE(YEAR(T48), MONTH(T48), DAY(T48) + 1))</f>
        <v>10</v>
      </c>
      <c r="T52" s="65">
        <f>MONTH(DATE(YEAR(T48), MONTH(T48), DAY(T48) + 1))</f>
        <v>12</v>
      </c>
      <c r="U52" s="65">
        <f>$U$17</f>
        <v>2022</v>
      </c>
      <c r="V52" s="76" t="s">
        <v>136</v>
      </c>
      <c r="W52" s="76">
        <f>YEAR(SolarDate($C$11,DATE($C$5,T52,S52)))</f>
        <v>2022</v>
      </c>
      <c r="X52" s="104"/>
    </row>
    <row r="53" spans="2:24" x14ac:dyDescent="0.25">
      <c r="B53" s="60" t="s">
        <v>144</v>
      </c>
      <c r="C53" s="89">
        <f>numberto22(SumNumbers(CONCATENATE($C$6,$C$7,YEAR(SolarDate($C$11,E51)))))</f>
        <v>12</v>
      </c>
      <c r="D53" s="97" t="s">
        <v>145</v>
      </c>
      <c r="E53" s="553">
        <f>numberto22(C53+C54)</f>
        <v>11</v>
      </c>
      <c r="F53" s="72" t="str">
        <f>IF(COUNTIF($K$6:$P$6,C53)&gt;0, "Да", "Нет")</f>
        <v>Нет</v>
      </c>
      <c r="G53" s="93">
        <f>ABS(numberto22(C53+NameArc*KarmicShadow($C$11,E51,VALUE($L$6))))</f>
        <v>21</v>
      </c>
      <c r="H53" s="61" t="str">
        <f>IF(COUNTIF($K$6:$P$6,G53)&gt;0, "Да", "Нет")</f>
        <v>Нет</v>
      </c>
      <c r="I53" s="65"/>
      <c r="J53" s="60" t="s">
        <v>144</v>
      </c>
      <c r="K53" s="89">
        <f>numberto22(SumNumbers(CONCATENATE($C$6,7,O51)))</f>
        <v>18</v>
      </c>
      <c r="L53" s="97" t="s">
        <v>145</v>
      </c>
      <c r="M53" s="91">
        <f>numberto22(K53+K54)</f>
        <v>14</v>
      </c>
      <c r="N53" s="72" t="str">
        <f>IF(COUNTIF($K$6:$P$6,K53)&gt;0, "Да", "Нет")</f>
        <v>Нет</v>
      </c>
      <c r="O53" s="93">
        <f>ABS(numberto22(K53+NameArc*KarmicShadow($C$11,$E$14,VALUE($L$6))))</f>
        <v>5</v>
      </c>
      <c r="P53" s="61" t="str">
        <f>IF(COUNTIF($K$6:$P$6,O53)&gt;0, "Да", "Нет")</f>
        <v>Нет</v>
      </c>
      <c r="R53" s="75" t="s">
        <v>137</v>
      </c>
      <c r="S53" s="76"/>
      <c r="T53" s="76">
        <f ca="1">DAY(EOMONTH(DATE(YEAR(TODAY()),T52,1),0))</f>
        <v>31</v>
      </c>
      <c r="U53" s="76"/>
      <c r="V53" s="76"/>
      <c r="W53" s="65"/>
      <c r="X53" s="104"/>
    </row>
    <row r="54" spans="2:24" ht="15.75" thickBot="1" x14ac:dyDescent="0.3">
      <c r="B54" s="16" t="s">
        <v>147</v>
      </c>
      <c r="C54" s="90">
        <f>numberto22((numberto22($C$6)+numberto22($C$7)+numberto22(SumNumbers(YEAR(SolarDate($C$11,E51))))))</f>
        <v>21</v>
      </c>
      <c r="D54" s="98" t="s">
        <v>148</v>
      </c>
      <c r="E54" s="554">
        <f>numberto22(ABS(C53-C54))</f>
        <v>9</v>
      </c>
      <c r="F54" s="17" t="str">
        <f>IF(COUNTIF($K$6:$P$6,C54)&gt;0, "Да", "Нет")</f>
        <v>Нет</v>
      </c>
      <c r="G54" s="94">
        <f>ABS(numberto22(C54+NameArc*KarmicShadow($C$11,E51,VALUE($L$6))))</f>
        <v>8</v>
      </c>
      <c r="H54" s="18" t="str">
        <f>IF(COUNTIF($K$6:$P$6,G54)&gt;0, "Да", "Нет")</f>
        <v>Да</v>
      </c>
      <c r="J54" s="16" t="s">
        <v>147</v>
      </c>
      <c r="K54" s="90">
        <f>numberto22((numberto22($C$6)+numberto22(7)+numberto22(SumNumbers(O51))))</f>
        <v>18</v>
      </c>
      <c r="L54" s="98" t="s">
        <v>148</v>
      </c>
      <c r="M54" s="92">
        <f>numberto22(ABS(K53-K54))</f>
        <v>22</v>
      </c>
      <c r="N54" s="17" t="str">
        <f>IF(COUNTIF($K$6:$P$6,K54)&gt;0, "Да", "Нет")</f>
        <v>Нет</v>
      </c>
      <c r="O54" s="94">
        <f>ABS(numberto22(K54+NameArc*KarmicShadow($C$11,$E$14,VALUE($L$6))))</f>
        <v>5</v>
      </c>
      <c r="P54" s="18" t="str">
        <f>IF(COUNTIF($K$6:$P$6,O54)&gt;0, "Да", "Нет")</f>
        <v>Нет</v>
      </c>
      <c r="R54" s="75"/>
      <c r="S54" s="76">
        <f ca="1">IF($S$16+S52&lt;=T53,$S$16+S52,($S$16+S52)-T53)</f>
        <v>16</v>
      </c>
      <c r="T54" s="76">
        <f>MONTH(T48)</f>
        <v>12</v>
      </c>
      <c r="U54" s="76">
        <f>YEAR(SolarDate($C$11,DATE(U52,T52,S52)))</f>
        <v>2022</v>
      </c>
      <c r="V54" s="76"/>
      <c r="W54" s="65"/>
      <c r="X54" s="104"/>
    </row>
    <row r="55" spans="2:24" x14ac:dyDescent="0.25">
      <c r="B55" s="105" t="s">
        <v>149</v>
      </c>
      <c r="C55" s="302">
        <f>YEAR(E55)</f>
        <v>2031</v>
      </c>
      <c r="D55" s="77" t="s">
        <v>168</v>
      </c>
      <c r="E55" s="809">
        <f>DATE(YEAR(E51)+1,MONTH(E51),DAY(E51))</f>
        <v>48127</v>
      </c>
      <c r="F55" s="809"/>
      <c r="G55" s="65"/>
      <c r="H55" s="104"/>
      <c r="J55" s="75"/>
      <c r="K55" s="65"/>
      <c r="L55" s="65"/>
      <c r="M55" s="65"/>
      <c r="N55" s="65"/>
      <c r="O55" s="65"/>
      <c r="P55" s="104"/>
      <c r="R55" s="105" t="s">
        <v>139</v>
      </c>
      <c r="T55" s="809">
        <f>DATE(U52,T52,S52)</f>
        <v>44905</v>
      </c>
      <c r="U55" s="809"/>
      <c r="W55" s="76"/>
      <c r="X55" s="104"/>
    </row>
    <row r="56" spans="2:24" ht="15.75" thickBot="1" x14ac:dyDescent="0.3">
      <c r="B56" s="75"/>
      <c r="C56" s="65"/>
      <c r="D56" s="811" t="s">
        <v>151</v>
      </c>
      <c r="E56" s="811"/>
      <c r="F56" s="65" t="s">
        <v>141</v>
      </c>
      <c r="G56" s="65" t="s">
        <v>142</v>
      </c>
      <c r="H56" s="104" t="s">
        <v>141</v>
      </c>
      <c r="J56" s="306" t="s">
        <v>163</v>
      </c>
      <c r="K56" s="76"/>
      <c r="L56" s="100" t="s">
        <v>150</v>
      </c>
      <c r="M56" s="809">
        <f>DATE($K$13,8,DAY(EOMONTH(DATE(YEAR($K$13),8,1),0)))</f>
        <v>44804</v>
      </c>
      <c r="N56" s="809"/>
      <c r="O56" s="76">
        <f>YEAR(SolarDate($C$11,M56))</f>
        <v>2021</v>
      </c>
      <c r="P56" s="104"/>
      <c r="R56" s="106"/>
      <c r="S56" s="76"/>
      <c r="T56" s="810" t="s">
        <v>151</v>
      </c>
      <c r="U56" s="810"/>
      <c r="V56" s="76" t="s">
        <v>141</v>
      </c>
      <c r="W56" s="65" t="s">
        <v>142</v>
      </c>
      <c r="X56" s="104" t="s">
        <v>141</v>
      </c>
    </row>
    <row r="57" spans="2:24" ht="15.75" thickBot="1" x14ac:dyDescent="0.3">
      <c r="B57" s="60" t="s">
        <v>144</v>
      </c>
      <c r="C57" s="89">
        <f>numberto22(SumNumbers(CONCATENATE($C$6,$C$7,YEAR(SolarDate($C$11,E55)))))</f>
        <v>13</v>
      </c>
      <c r="D57" s="97" t="s">
        <v>145</v>
      </c>
      <c r="E57" s="553">
        <f>numberto22(C57+C58)</f>
        <v>13</v>
      </c>
      <c r="F57" s="72" t="str">
        <f>IF(COUNTIF($K$6:$P$6,C57)&gt;0, "Да", "Нет")</f>
        <v>Нет</v>
      </c>
      <c r="G57" s="93">
        <f>ABS(numberto22(C57+NameArc*KarmicShadow($C$11,E55,VALUE($L$6))))</f>
        <v>22</v>
      </c>
      <c r="H57" s="61" t="str">
        <f>IF(COUNTIF($K$6:$P$6,G57)&gt;0, "Да", "Нет")</f>
        <v>Да</v>
      </c>
      <c r="I57" s="65"/>
      <c r="J57" s="75"/>
      <c r="K57" s="76"/>
      <c r="L57" s="810" t="s">
        <v>151</v>
      </c>
      <c r="M57" s="810"/>
      <c r="N57" s="65" t="s">
        <v>141</v>
      </c>
      <c r="O57" s="65" t="s">
        <v>142</v>
      </c>
      <c r="P57" s="104" t="s">
        <v>141</v>
      </c>
      <c r="R57" s="60" t="s">
        <v>144</v>
      </c>
      <c r="S57" s="89">
        <f ca="1">numberto22(SumNumbers(CONCATENATE(S54,T54,U54)))</f>
        <v>16</v>
      </c>
      <c r="T57" s="97" t="s">
        <v>145</v>
      </c>
      <c r="U57" s="91">
        <f ca="1">numberto22(S57+S58)</f>
        <v>6</v>
      </c>
      <c r="V57" s="72" t="str">
        <f ca="1">IF(COUNTIF($K$6:$P$6,S57)&gt;0, "Да", "Нет")</f>
        <v>Да</v>
      </c>
      <c r="W57" s="93">
        <f ca="1">ABS(numberto22(S57+NameArc*KarmicShadow($C$11,DATE($U$17,$T$17,$S$17),VALUE($L$6))))</f>
        <v>3</v>
      </c>
      <c r="X57" s="61" t="str">
        <f ca="1">IF(COUNTIF($K$6:$P$6,W57)&gt;0, "Да", "Нет")</f>
        <v>Нет</v>
      </c>
    </row>
    <row r="58" spans="2:24" ht="15.75" thickBot="1" x14ac:dyDescent="0.3">
      <c r="B58" s="16" t="s">
        <v>147</v>
      </c>
      <c r="C58" s="90">
        <f>numberto22((numberto22($C$6)+numberto22($C$7)+numberto22(SumNumbers(YEAR(SolarDate($C$11,E55))))))</f>
        <v>22</v>
      </c>
      <c r="D58" s="98" t="s">
        <v>148</v>
      </c>
      <c r="E58" s="554">
        <f>numberto22(ABS(C57-C58))</f>
        <v>9</v>
      </c>
      <c r="F58" s="17" t="str">
        <f>IF(COUNTIF($K$6:$P$6,C58)&gt;0, "Да", "Нет")</f>
        <v>Да</v>
      </c>
      <c r="G58" s="94">
        <f>ABS(numberto22(C58+NameArc*KarmicShadow($C$11,E55,VALUE($L$6))))</f>
        <v>9</v>
      </c>
      <c r="H58" s="18" t="str">
        <f>IF(COUNTIF($K$6:$P$6,G58)&gt;0, "Да", "Нет")</f>
        <v>Нет</v>
      </c>
      <c r="I58" s="65"/>
      <c r="J58" s="60" t="s">
        <v>144</v>
      </c>
      <c r="K58" s="89">
        <f>numberto22(SumNumbers(CONCATENATE($C$6,8,O56)))</f>
        <v>19</v>
      </c>
      <c r="L58" s="97" t="s">
        <v>145</v>
      </c>
      <c r="M58" s="91">
        <f>numberto22(K58+K59)</f>
        <v>16</v>
      </c>
      <c r="N58" s="72" t="str">
        <f>IF(COUNTIF($K$6:$P$6,K58)&gt;0, "Да", "Нет")</f>
        <v>Нет</v>
      </c>
      <c r="O58" s="93">
        <f>ABS(numberto22(K58+NameArc*KarmicShadow($C$11,$E$14,VALUE($L$6))))</f>
        <v>6</v>
      </c>
      <c r="P58" s="61" t="str">
        <f>IF(COUNTIF($K$6:$P$6,O58)&gt;0, "Да", "Нет")</f>
        <v>Нет</v>
      </c>
      <c r="R58" s="16" t="s">
        <v>147</v>
      </c>
      <c r="S58" s="90">
        <f ca="1">numberto22((numberto22(S54)+numberto22(T54)+numberto22(SumNumbers(U54))))</f>
        <v>12</v>
      </c>
      <c r="T58" s="98" t="s">
        <v>148</v>
      </c>
      <c r="U58" s="92">
        <f ca="1">numberto22(ABS(S57-S58))</f>
        <v>4</v>
      </c>
      <c r="V58" s="17" t="str">
        <f ca="1">IF(COUNTIF($K$6:$P$6,S58)&gt;0, "Да", "Нет")</f>
        <v>Нет</v>
      </c>
      <c r="W58" s="94">
        <f ca="1">ABS(numberto22(S58+NameArc*KarmicShadow($C$11,DATE($U$17,$T$17,$S$17),VALUE($L$6))))</f>
        <v>21</v>
      </c>
      <c r="X58" s="18" t="str">
        <f ca="1">IF(COUNTIF($K$6:$P$6,W58)&gt;0, "Да", "Нет")</f>
        <v>Нет</v>
      </c>
    </row>
    <row r="59" spans="2:24" ht="15.75" thickBot="1" x14ac:dyDescent="0.3">
      <c r="B59" s="105" t="s">
        <v>149</v>
      </c>
      <c r="C59" s="302">
        <f>YEAR(E59)</f>
        <v>2032</v>
      </c>
      <c r="D59" s="77" t="s">
        <v>168</v>
      </c>
      <c r="E59" s="809">
        <f>DATE(YEAR(E55)+1,MONTH(E55),DAY(E55))</f>
        <v>48493</v>
      </c>
      <c r="F59" s="809"/>
      <c r="G59" s="65"/>
      <c r="H59" s="104"/>
      <c r="J59" s="16" t="s">
        <v>147</v>
      </c>
      <c r="K59" s="90">
        <f>numberto22((numberto22($C$6)+numberto22(8)+numberto22(SumNumbers(O56))))</f>
        <v>19</v>
      </c>
      <c r="L59" s="98" t="s">
        <v>148</v>
      </c>
      <c r="M59" s="92">
        <f>numberto22(ABS(K58-K59))</f>
        <v>22</v>
      </c>
      <c r="N59" s="17" t="str">
        <f>IF(COUNTIF($K$6:$P$6,K59)&gt;0, "Да", "Нет")</f>
        <v>Нет</v>
      </c>
      <c r="O59" s="94">
        <f>ABS(numberto22(K59+NameArc*KarmicShadow($C$11,$E$14,VALUE($L$6))))</f>
        <v>6</v>
      </c>
      <c r="P59" s="18" t="str">
        <f>IF(COUNTIF($K$6:$P$6,O59)&gt;0, "Да", "Нет")</f>
        <v>Нет</v>
      </c>
      <c r="R59" s="75"/>
      <c r="S59" s="76">
        <f>DAY(DATE(YEAR(T55), MONTH(T55), DAY(T55) + 1))</f>
        <v>11</v>
      </c>
      <c r="T59" s="65">
        <f>MONTH(DATE(YEAR(T55), MONTH(T55), DAY(T55) + 1))</f>
        <v>12</v>
      </c>
      <c r="U59" s="65">
        <f>$U$17</f>
        <v>2022</v>
      </c>
      <c r="V59" s="76" t="s">
        <v>136</v>
      </c>
      <c r="W59" s="76">
        <f>YEAR(SolarDate($C$11,DATE($C$5,T59,S59)))</f>
        <v>2022</v>
      </c>
      <c r="X59" s="104"/>
    </row>
    <row r="60" spans="2:24" ht="15.75" thickBot="1" x14ac:dyDescent="0.3">
      <c r="B60" s="75"/>
      <c r="C60" s="65"/>
      <c r="D60" s="811" t="s">
        <v>151</v>
      </c>
      <c r="E60" s="811"/>
      <c r="F60" s="65" t="s">
        <v>141</v>
      </c>
      <c r="G60" s="65" t="s">
        <v>142</v>
      </c>
      <c r="H60" s="104" t="s">
        <v>141</v>
      </c>
      <c r="J60" s="75"/>
      <c r="K60" s="65"/>
      <c r="L60" s="65"/>
      <c r="M60" s="65"/>
      <c r="N60" s="65"/>
      <c r="O60" s="65"/>
      <c r="P60" s="104"/>
      <c r="R60" s="75" t="s">
        <v>137</v>
      </c>
      <c r="S60" s="76"/>
      <c r="T60" s="76">
        <f ca="1">DAY(EOMONTH(DATE(YEAR(TODAY()),T59,1),0))</f>
        <v>31</v>
      </c>
      <c r="U60" s="76"/>
      <c r="V60" s="76"/>
      <c r="W60" s="65"/>
      <c r="X60" s="104"/>
    </row>
    <row r="61" spans="2:24" x14ac:dyDescent="0.25">
      <c r="B61" s="60" t="s">
        <v>144</v>
      </c>
      <c r="C61" s="89">
        <f>numberto22(SumNumbers(CONCATENATE($C$6,$C$7,YEAR(SolarDate($C$11,E59)))))</f>
        <v>14</v>
      </c>
      <c r="D61" s="97" t="s">
        <v>145</v>
      </c>
      <c r="E61" s="553">
        <f>numberto22(C61+C62)</f>
        <v>15</v>
      </c>
      <c r="F61" s="72" t="str">
        <f>IF(COUNTIF($K$6:$P$6,C61)&gt;0, "Да", "Нет")</f>
        <v>Нет</v>
      </c>
      <c r="G61" s="93">
        <f>ABS(numberto22(C61+NameArc*KarmicShadow($C$11,E59,VALUE($L$6))))</f>
        <v>5</v>
      </c>
      <c r="H61" s="61" t="str">
        <f>IF(COUNTIF($K$6:$P$6,G61)&gt;0, "Да", "Нет")</f>
        <v>Нет</v>
      </c>
      <c r="J61" s="306" t="s">
        <v>164</v>
      </c>
      <c r="K61" s="76"/>
      <c r="L61" s="100" t="s">
        <v>150</v>
      </c>
      <c r="M61" s="809">
        <f>DATE($K$13,9,DAY(EOMONTH(DATE(YEAR($K$13),9,1),0)))</f>
        <v>44834</v>
      </c>
      <c r="N61" s="809"/>
      <c r="O61" s="76">
        <f>YEAR(SolarDate($C$11,M61))</f>
        <v>2021</v>
      </c>
      <c r="P61" s="104"/>
      <c r="R61" s="75"/>
      <c r="S61" s="76">
        <f ca="1">IF($S$16+S59&lt;=T60,$S$16+S59,($S$16+S59)-T60)</f>
        <v>17</v>
      </c>
      <c r="T61" s="76">
        <f>MONTH(T55)</f>
        <v>12</v>
      </c>
      <c r="U61" s="76">
        <f>YEAR(SolarDate($C$11,DATE(U59,T59,S59)))</f>
        <v>2022</v>
      </c>
      <c r="V61" s="76"/>
      <c r="W61" s="65"/>
      <c r="X61" s="104"/>
    </row>
    <row r="62" spans="2:24" ht="15.75" thickBot="1" x14ac:dyDescent="0.3">
      <c r="B62" s="16" t="s">
        <v>147</v>
      </c>
      <c r="C62" s="90">
        <f>numberto22((numberto22($C$6)+numberto22($C$7)+numberto22(SumNumbers(YEAR(SolarDate($C$11,E59))))))</f>
        <v>1</v>
      </c>
      <c r="D62" s="98" t="s">
        <v>148</v>
      </c>
      <c r="E62" s="554">
        <f>numberto22(ABS(C61-C62))</f>
        <v>13</v>
      </c>
      <c r="F62" s="17" t="str">
        <f>IF(COUNTIF($K$6:$P$6,C62)&gt;0, "Да", "Нет")</f>
        <v>Нет</v>
      </c>
      <c r="G62" s="94">
        <f>ABS(numberto22(C62+NameArc*KarmicShadow($C$11,E59,VALUE($L$6))))</f>
        <v>8</v>
      </c>
      <c r="H62" s="18" t="str">
        <f>IF(COUNTIF($K$6:$P$6,G62)&gt;0, "Да", "Нет")</f>
        <v>Да</v>
      </c>
      <c r="I62" s="65"/>
      <c r="J62" s="75"/>
      <c r="K62" s="76"/>
      <c r="L62" s="810" t="s">
        <v>151</v>
      </c>
      <c r="M62" s="810"/>
      <c r="N62" s="65" t="s">
        <v>141</v>
      </c>
      <c r="O62" s="65" t="s">
        <v>142</v>
      </c>
      <c r="P62" s="104" t="s">
        <v>141</v>
      </c>
      <c r="R62" s="105" t="s">
        <v>139</v>
      </c>
      <c r="T62" s="809">
        <f>DATE(U59,T59,S59)</f>
        <v>44906</v>
      </c>
      <c r="U62" s="809"/>
      <c r="W62" s="76"/>
      <c r="X62" s="104"/>
    </row>
    <row r="63" spans="2:24" ht="15.75" thickBot="1" x14ac:dyDescent="0.3">
      <c r="B63" s="105" t="s">
        <v>149</v>
      </c>
      <c r="C63" s="302">
        <f>YEAR(E63)</f>
        <v>2033</v>
      </c>
      <c r="D63" s="77" t="s">
        <v>168</v>
      </c>
      <c r="E63" s="809">
        <f>DATE(YEAR(E59)+1,MONTH(E59),DAY(E59))</f>
        <v>48858</v>
      </c>
      <c r="F63" s="809"/>
      <c r="G63" s="65"/>
      <c r="H63" s="104"/>
      <c r="I63" s="65"/>
      <c r="J63" s="60" t="s">
        <v>144</v>
      </c>
      <c r="K63" s="89">
        <f>numberto22(SumNumbers(CONCATENATE($C$6,9,O61)))</f>
        <v>20</v>
      </c>
      <c r="L63" s="97" t="s">
        <v>145</v>
      </c>
      <c r="M63" s="91">
        <f>numberto22(K63+K64)</f>
        <v>18</v>
      </c>
      <c r="N63" s="72" t="str">
        <f>IF(COUNTIF($K$6:$P$6,K63)&gt;0, "Да", "Нет")</f>
        <v>Нет</v>
      </c>
      <c r="O63" s="93">
        <f>ABS(numberto22(K63+NameArc*KarmicShadow($C$11,$E$14,VALUE($L$6))))</f>
        <v>7</v>
      </c>
      <c r="P63" s="61" t="str">
        <f>IF(COUNTIF($K$6:$P$6,O63)&gt;0, "Да", "Нет")</f>
        <v>Нет</v>
      </c>
      <c r="R63" s="106"/>
      <c r="S63" s="76"/>
      <c r="T63" s="810" t="s">
        <v>151</v>
      </c>
      <c r="U63" s="810"/>
      <c r="V63" s="76" t="s">
        <v>141</v>
      </c>
      <c r="W63" s="65" t="s">
        <v>142</v>
      </c>
      <c r="X63" s="104" t="s">
        <v>141</v>
      </c>
    </row>
    <row r="64" spans="2:24" ht="15.75" thickBot="1" x14ac:dyDescent="0.3">
      <c r="B64" s="75"/>
      <c r="C64" s="65"/>
      <c r="D64" s="811" t="s">
        <v>151</v>
      </c>
      <c r="E64" s="811"/>
      <c r="F64" s="65" t="s">
        <v>141</v>
      </c>
      <c r="G64" s="65" t="s">
        <v>142</v>
      </c>
      <c r="H64" s="104" t="s">
        <v>141</v>
      </c>
      <c r="J64" s="16" t="s">
        <v>147</v>
      </c>
      <c r="K64" s="90">
        <f>numberto22((numberto22($C$6)+numberto22(9)+numberto22(SumNumbers(O61))))</f>
        <v>20</v>
      </c>
      <c r="L64" s="98" t="s">
        <v>148</v>
      </c>
      <c r="M64" s="92">
        <f>numberto22(ABS(K63-K64))</f>
        <v>22</v>
      </c>
      <c r="N64" s="17" t="str">
        <f>IF(COUNTIF($K$6:$P$6,K64)&gt;0, "Да", "Нет")</f>
        <v>Нет</v>
      </c>
      <c r="O64" s="94">
        <f>ABS(numberto22(K64+NameArc*KarmicShadow($C$11,$E$14,VALUE($L$6))))</f>
        <v>7</v>
      </c>
      <c r="P64" s="18" t="str">
        <f>IF(COUNTIF($K$6:$P$6,O64)&gt;0, "Да", "Нет")</f>
        <v>Нет</v>
      </c>
      <c r="R64" s="60" t="s">
        <v>144</v>
      </c>
      <c r="S64" s="89">
        <f ca="1">numberto22(SumNumbers(CONCATENATE(S61,T61,U61)))</f>
        <v>17</v>
      </c>
      <c r="T64" s="97" t="s">
        <v>145</v>
      </c>
      <c r="U64" s="91">
        <f ca="1">numberto22(S64+S65)</f>
        <v>8</v>
      </c>
      <c r="V64" s="72" t="str">
        <f ca="1">IF(COUNTIF($K$6:$P$6,S64)&gt;0, "Да", "Нет")</f>
        <v>Нет</v>
      </c>
      <c r="W64" s="93">
        <f ca="1">ABS(numberto22(S64+NameArc*KarmicShadow($C$11,DATE($U$17,$T$17,$S$17),VALUE($L$6))))</f>
        <v>4</v>
      </c>
      <c r="X64" s="61" t="str">
        <f ca="1">IF(COUNTIF($K$6:$P$6,W64)&gt;0, "Да", "Нет")</f>
        <v>Да</v>
      </c>
    </row>
    <row r="65" spans="2:24" ht="15.75" thickBot="1" x14ac:dyDescent="0.3">
      <c r="B65" s="60" t="s">
        <v>144</v>
      </c>
      <c r="C65" s="89">
        <f>numberto22(SumNumbers(CONCATENATE($C$6,$C$7,YEAR(SolarDate($C$11,E63)))))</f>
        <v>15</v>
      </c>
      <c r="D65" s="97" t="s">
        <v>145</v>
      </c>
      <c r="E65" s="553">
        <f>numberto22(C65+C66)</f>
        <v>17</v>
      </c>
      <c r="F65" s="72" t="str">
        <f>IF(COUNTIF($K$6:$P$6,C65)&gt;0, "Да", "Нет")</f>
        <v>Нет</v>
      </c>
      <c r="G65" s="93">
        <f>ABS(numberto22(C65+NameArc*KarmicShadow($C$11,E63,VALUE($L$6))))</f>
        <v>6</v>
      </c>
      <c r="H65" s="61" t="str">
        <f>IF(COUNTIF($K$6:$P$6,G65)&gt;0, "Да", "Нет")</f>
        <v>Нет</v>
      </c>
      <c r="J65" s="75"/>
      <c r="K65" s="65"/>
      <c r="L65" s="65"/>
      <c r="M65" s="65"/>
      <c r="N65" s="65"/>
      <c r="O65" s="65"/>
      <c r="P65" s="104"/>
      <c r="R65" s="16" t="s">
        <v>147</v>
      </c>
      <c r="S65" s="90">
        <f ca="1">numberto22((numberto22(S61)+numberto22(T61)+numberto22(SumNumbers(U61))))</f>
        <v>13</v>
      </c>
      <c r="T65" s="98" t="s">
        <v>148</v>
      </c>
      <c r="U65" s="92">
        <f ca="1">numberto22(ABS(S64-S65))</f>
        <v>4</v>
      </c>
      <c r="V65" s="17" t="str">
        <f ca="1">IF(COUNTIF($K$6:$P$6,S65)&gt;0, "Да", "Нет")</f>
        <v>Нет</v>
      </c>
      <c r="W65" s="94">
        <f ca="1">ABS(numberto22(S65+NameArc*KarmicShadow($C$11,DATE($U$17,$T$17,$S$17),VALUE($L$6))))</f>
        <v>22</v>
      </c>
      <c r="X65" s="18" t="str">
        <f ca="1">IF(COUNTIF($K$6:$P$6,W65)&gt;0, "Да", "Нет")</f>
        <v>Да</v>
      </c>
    </row>
    <row r="66" spans="2:24" ht="15.75" thickBot="1" x14ac:dyDescent="0.3">
      <c r="B66" s="16" t="s">
        <v>147</v>
      </c>
      <c r="C66" s="90">
        <f>numberto22((numberto22($C$6)+numberto22($C$7)+numberto22(SumNumbers(YEAR(SolarDate($C$11,E63))))))</f>
        <v>2</v>
      </c>
      <c r="D66" s="98" t="s">
        <v>148</v>
      </c>
      <c r="E66" s="554">
        <f>numberto22(ABS(C65-C66))</f>
        <v>13</v>
      </c>
      <c r="F66" s="17" t="str">
        <f>IF(COUNTIF($K$6:$P$6,C66)&gt;0, "Да", "Нет")</f>
        <v>Нет</v>
      </c>
      <c r="G66" s="94">
        <f>ABS(numberto22(C66+NameArc*KarmicShadow($C$11,E63,VALUE($L$6))))</f>
        <v>7</v>
      </c>
      <c r="H66" s="18" t="str">
        <f>IF(COUNTIF($K$6:$P$6,G66)&gt;0, "Да", "Нет")</f>
        <v>Нет</v>
      </c>
      <c r="J66" s="306" t="s">
        <v>165</v>
      </c>
      <c r="K66" s="76"/>
      <c r="L66" s="100" t="s">
        <v>150</v>
      </c>
      <c r="M66" s="809">
        <f>DATE($K$13,10,DAY(EOMONTH(DATE(YEAR($K$13),10,1),0)))</f>
        <v>44865</v>
      </c>
      <c r="N66" s="809"/>
      <c r="O66" s="76">
        <f>YEAR(SolarDate($C$11,M66))</f>
        <v>2022</v>
      </c>
      <c r="P66" s="104"/>
      <c r="R66" s="75"/>
      <c r="S66" s="76">
        <f>DAY(DATE(YEAR(T62), MONTH(T62), DAY(T62) + 1))</f>
        <v>12</v>
      </c>
      <c r="T66" s="65">
        <f>MONTH(DATE(YEAR(T62), MONTH(T62), DAY(T62) + 1))</f>
        <v>12</v>
      </c>
      <c r="U66" s="65">
        <f>$U$17</f>
        <v>2022</v>
      </c>
      <c r="V66" s="76" t="s">
        <v>136</v>
      </c>
      <c r="W66" s="76">
        <f>YEAR(SolarDate($C$11,DATE($C$5,T66,S66)))</f>
        <v>2022</v>
      </c>
      <c r="X66" s="104"/>
    </row>
    <row r="67" spans="2:24" ht="15.75" thickBot="1" x14ac:dyDescent="0.3">
      <c r="I67" s="65"/>
      <c r="J67" s="75"/>
      <c r="K67" s="76"/>
      <c r="L67" s="810" t="s">
        <v>151</v>
      </c>
      <c r="M67" s="810"/>
      <c r="N67" s="65" t="s">
        <v>141</v>
      </c>
      <c r="O67" s="65" t="s">
        <v>142</v>
      </c>
      <c r="P67" s="104" t="s">
        <v>141</v>
      </c>
      <c r="R67" s="75" t="s">
        <v>137</v>
      </c>
      <c r="S67" s="76"/>
      <c r="T67" s="76">
        <f ca="1">DAY(EOMONTH(DATE(YEAR(TODAY()),T66,1),0))</f>
        <v>31</v>
      </c>
      <c r="U67" s="76"/>
      <c r="V67" s="76"/>
      <c r="W67" s="65"/>
      <c r="X67" s="104"/>
    </row>
    <row r="68" spans="2:24" x14ac:dyDescent="0.25">
      <c r="I68" s="65"/>
      <c r="J68" s="60" t="s">
        <v>144</v>
      </c>
      <c r="K68" s="89">
        <f>numberto22(SumNumbers(CONCATENATE($C$6,10,O66)))</f>
        <v>13</v>
      </c>
      <c r="L68" s="97" t="s">
        <v>145</v>
      </c>
      <c r="M68" s="91">
        <f>numberto22(K68+K69)</f>
        <v>13</v>
      </c>
      <c r="N68" s="72" t="str">
        <f>IF(COUNTIF($K$6:$P$6,K68)&gt;0, "Да", "Нет")</f>
        <v>Нет</v>
      </c>
      <c r="O68" s="93">
        <f>ABS(numberto22(K68+NameArc*KarmicShadow($C$11,$E$14,VALUE($L$6))))</f>
        <v>22</v>
      </c>
      <c r="P68" s="61" t="str">
        <f>IF(COUNTIF($K$6:$P$6,O68)&gt;0, "Да", "Нет")</f>
        <v>Да</v>
      </c>
      <c r="R68" s="75"/>
      <c r="S68" s="76">
        <f ca="1">IF($S$16+S66&lt;=T67,$S$16+S66,($S$16+S66)-T67)</f>
        <v>18</v>
      </c>
      <c r="T68" s="76">
        <f>MONTH(T62)</f>
        <v>12</v>
      </c>
      <c r="U68" s="76">
        <f>YEAR(SolarDate($C$11,DATE(U66,T66,S66)))</f>
        <v>2022</v>
      </c>
      <c r="V68" s="76"/>
      <c r="W68" s="65"/>
      <c r="X68" s="104"/>
    </row>
    <row r="69" spans="2:24" ht="15.75" thickBot="1" x14ac:dyDescent="0.3">
      <c r="J69" s="16" t="s">
        <v>147</v>
      </c>
      <c r="K69" s="90">
        <f>numberto22((numberto22($C$6)+10+numberto22(SumNumbers(O66))))</f>
        <v>22</v>
      </c>
      <c r="L69" s="98" t="s">
        <v>148</v>
      </c>
      <c r="M69" s="92">
        <f>numberto22(ABS(K68-K69))</f>
        <v>9</v>
      </c>
      <c r="N69" s="17" t="str">
        <f>IF(COUNTIF($K$6:$P$6,K69)&gt;0, "Да", "Нет")</f>
        <v>Да</v>
      </c>
      <c r="O69" s="94">
        <f>ABS(numberto22(K69+NameArc*KarmicShadow($C$11,$E$14,VALUE($L$6))))</f>
        <v>9</v>
      </c>
      <c r="P69" s="18" t="str">
        <f>IF(COUNTIF($K$6:$P$6,O69)&gt;0, "Да", "Нет")</f>
        <v>Нет</v>
      </c>
      <c r="R69" s="105" t="s">
        <v>139</v>
      </c>
      <c r="T69" s="809">
        <f>DATE(U66,T66,S66)</f>
        <v>44907</v>
      </c>
      <c r="U69" s="809"/>
      <c r="W69" s="76"/>
      <c r="X69" s="104"/>
    </row>
    <row r="70" spans="2:24" ht="15.75" thickBot="1" x14ac:dyDescent="0.3">
      <c r="J70" s="75"/>
      <c r="K70" s="65"/>
      <c r="L70" s="65"/>
      <c r="M70" s="65"/>
      <c r="N70" s="65"/>
      <c r="O70" s="65"/>
      <c r="P70" s="104"/>
      <c r="R70" s="106"/>
      <c r="S70" s="76"/>
      <c r="T70" s="810" t="s">
        <v>151</v>
      </c>
      <c r="U70" s="810"/>
      <c r="V70" s="76" t="s">
        <v>141</v>
      </c>
      <c r="W70" s="65" t="s">
        <v>142</v>
      </c>
      <c r="X70" s="104" t="s">
        <v>141</v>
      </c>
    </row>
    <row r="71" spans="2:24" x14ac:dyDescent="0.25">
      <c r="J71" s="306" t="s">
        <v>166</v>
      </c>
      <c r="K71" s="76"/>
      <c r="L71" s="100" t="s">
        <v>150</v>
      </c>
      <c r="M71" s="809">
        <f>DATE($K$13,11,DAY(EOMONTH(DATE(YEAR($K$13),11,1),0)))</f>
        <v>44895</v>
      </c>
      <c r="N71" s="809"/>
      <c r="O71" s="76">
        <f>YEAR(SolarDate($C$11,M71))</f>
        <v>2022</v>
      </c>
      <c r="P71" s="104"/>
      <c r="R71" s="60" t="s">
        <v>144</v>
      </c>
      <c r="S71" s="89">
        <f ca="1">numberto22(SumNumbers(CONCATENATE(S68,T68,U68)))</f>
        <v>18</v>
      </c>
      <c r="T71" s="97" t="s">
        <v>145</v>
      </c>
      <c r="U71" s="91">
        <f ca="1">numberto22(S71+S72)</f>
        <v>10</v>
      </c>
      <c r="V71" s="72" t="str">
        <f ca="1">IF(COUNTIF($K$6:$P$6,S71)&gt;0, "Да", "Нет")</f>
        <v>Нет</v>
      </c>
      <c r="W71" s="93">
        <f ca="1">ABS(numberto22(S71+NameArc*KarmicShadow($C$11,DATE($U$17,$T$17,$S$17),VALUE($L$6))))</f>
        <v>5</v>
      </c>
      <c r="X71" s="61" t="str">
        <f ca="1">IF(COUNTIF($K$6:$P$6,W71)&gt;0, "Да", "Нет")</f>
        <v>Нет</v>
      </c>
    </row>
    <row r="72" spans="2:24" ht="15.75" thickBot="1" x14ac:dyDescent="0.3">
      <c r="I72" s="65"/>
      <c r="J72" s="75"/>
      <c r="K72" s="76"/>
      <c r="L72" s="810" t="s">
        <v>151</v>
      </c>
      <c r="M72" s="810"/>
      <c r="N72" s="65" t="s">
        <v>141</v>
      </c>
      <c r="O72" s="65" t="s">
        <v>142</v>
      </c>
      <c r="P72" s="104" t="s">
        <v>141</v>
      </c>
      <c r="R72" s="16" t="s">
        <v>147</v>
      </c>
      <c r="S72" s="90">
        <f ca="1">numberto22((numberto22(S68)+numberto22(T68)+numberto22(SumNumbers(U68))))</f>
        <v>14</v>
      </c>
      <c r="T72" s="98" t="s">
        <v>148</v>
      </c>
      <c r="U72" s="92">
        <f ca="1">numberto22(ABS(S71-S72))</f>
        <v>4</v>
      </c>
      <c r="V72" s="17" t="str">
        <f ca="1">IF(COUNTIF($K$6:$P$6,S72)&gt;0, "Да", "Нет")</f>
        <v>Нет</v>
      </c>
      <c r="W72" s="94">
        <f ca="1">ABS(numberto22(S72+NameArc*KarmicShadow($C$11,DATE($U$17,$T$17,$S$17),VALUE($L$6))))</f>
        <v>1</v>
      </c>
      <c r="X72" s="18" t="str">
        <f ca="1">IF(COUNTIF($K$6:$P$6,W72)&gt;0, "Да", "Нет")</f>
        <v>Нет</v>
      </c>
    </row>
    <row r="73" spans="2:24" x14ac:dyDescent="0.25">
      <c r="I73" s="65"/>
      <c r="J73" s="60" t="s">
        <v>144</v>
      </c>
      <c r="K73" s="89">
        <f>numberto22(SumNumbers(CONCATENATE($C$6,11,O71)))</f>
        <v>14</v>
      </c>
      <c r="L73" s="97" t="s">
        <v>145</v>
      </c>
      <c r="M73" s="91">
        <f>numberto22(K73+K74)</f>
        <v>15</v>
      </c>
      <c r="N73" s="72" t="str">
        <f>IF(COUNTIF($K$6:$P$6,K73)&gt;0, "Да", "Нет")</f>
        <v>Нет</v>
      </c>
      <c r="O73" s="93">
        <f>ABS(numberto22(K73+NameArc*KarmicShadow($C$11,$E$14,VALUE($L$6))))</f>
        <v>1</v>
      </c>
      <c r="P73" s="61" t="str">
        <f>IF(COUNTIF($K$6:$P$6,O73)&gt;0, "Да", "Нет")</f>
        <v>Нет</v>
      </c>
      <c r="R73" s="75"/>
      <c r="S73" s="76">
        <f>DAY(DATE(YEAR(T69), MONTH(T69), DAY(T69) + 1))</f>
        <v>13</v>
      </c>
      <c r="T73" s="65">
        <f>MONTH(DATE(YEAR(T69), MONTH(T69), DAY(T69) + 1))</f>
        <v>12</v>
      </c>
      <c r="U73" s="65">
        <f>$U$17</f>
        <v>2022</v>
      </c>
      <c r="V73" s="76" t="s">
        <v>136</v>
      </c>
      <c r="W73" s="76">
        <f>YEAR(SolarDate($C$11,DATE($C$5,T73,S73)))</f>
        <v>2022</v>
      </c>
      <c r="X73" s="104"/>
    </row>
    <row r="74" spans="2:24" ht="15.75" thickBot="1" x14ac:dyDescent="0.3">
      <c r="J74" s="16" t="s">
        <v>147</v>
      </c>
      <c r="K74" s="90">
        <f>numberto22((numberto22($C$6)+11+numberto22(SumNumbers(O71))))</f>
        <v>1</v>
      </c>
      <c r="L74" s="98" t="s">
        <v>148</v>
      </c>
      <c r="M74" s="92">
        <f>numberto22(ABS(K73-K74))</f>
        <v>13</v>
      </c>
      <c r="N74" s="17" t="str">
        <f>IF(COUNTIF($K$6:$P$6,K74)&gt;0, "Да", "Нет")</f>
        <v>Нет</v>
      </c>
      <c r="O74" s="94">
        <f>ABS(numberto22(K74+NameArc*KarmicShadow($C$11,$E$14,VALUE($L$6))))</f>
        <v>10</v>
      </c>
      <c r="P74" s="18" t="str">
        <f>IF(COUNTIF($K$6:$P$6,O74)&gt;0, "Да", "Нет")</f>
        <v>Нет</v>
      </c>
      <c r="R74" s="75" t="s">
        <v>137</v>
      </c>
      <c r="S74" s="76"/>
      <c r="T74" s="76">
        <f ca="1">DAY(EOMONTH(DATE(YEAR(TODAY()),T73,1),0))</f>
        <v>31</v>
      </c>
      <c r="U74" s="76"/>
      <c r="V74" s="76"/>
      <c r="W74" s="65"/>
      <c r="X74" s="104"/>
    </row>
    <row r="75" spans="2:24" x14ac:dyDescent="0.25">
      <c r="J75" s="75"/>
      <c r="K75" s="65"/>
      <c r="L75" s="65"/>
      <c r="M75" s="65"/>
      <c r="N75" s="65"/>
      <c r="O75" s="65"/>
      <c r="P75" s="104"/>
      <c r="R75" s="75"/>
      <c r="S75" s="76">
        <f ca="1">IF($S$16+S73&lt;=T74,$S$16+S73,($S$16+S73)-T74)</f>
        <v>19</v>
      </c>
      <c r="T75" s="76">
        <f>MONTH(T69)</f>
        <v>12</v>
      </c>
      <c r="U75" s="76">
        <f>YEAR(SolarDate($C$11,DATE(U73,T73,S73)))</f>
        <v>2022</v>
      </c>
      <c r="V75" s="76"/>
      <c r="W75" s="65"/>
      <c r="X75" s="104"/>
    </row>
    <row r="76" spans="2:24" x14ac:dyDescent="0.25">
      <c r="J76" s="306" t="s">
        <v>167</v>
      </c>
      <c r="K76" s="76"/>
      <c r="L76" s="100" t="s">
        <v>150</v>
      </c>
      <c r="M76" s="809">
        <f>DATE($K$13,12,DAY(EOMONTH(DATE(YEAR($K$13),12,1),0)))</f>
        <v>44926</v>
      </c>
      <c r="N76" s="809"/>
      <c r="O76" s="300">
        <f>YEAR(SolarDate($C$11,M76))</f>
        <v>2022</v>
      </c>
      <c r="P76" s="104"/>
      <c r="R76" s="105" t="s">
        <v>139</v>
      </c>
      <c r="T76" s="809">
        <f>DATE(U73,T73,S73)</f>
        <v>44908</v>
      </c>
      <c r="U76" s="809"/>
      <c r="W76" s="76"/>
      <c r="X76" s="104"/>
    </row>
    <row r="77" spans="2:24" ht="15.75" thickBot="1" x14ac:dyDescent="0.3">
      <c r="I77" s="65"/>
      <c r="J77" s="307"/>
      <c r="K77" s="300"/>
      <c r="L77" s="810" t="s">
        <v>151</v>
      </c>
      <c r="M77" s="810"/>
      <c r="N77" s="65" t="s">
        <v>141</v>
      </c>
      <c r="O77" s="65" t="s">
        <v>142</v>
      </c>
      <c r="P77" s="104" t="s">
        <v>141</v>
      </c>
      <c r="R77" s="106"/>
      <c r="S77" s="76"/>
      <c r="T77" s="810" t="s">
        <v>151</v>
      </c>
      <c r="U77" s="810"/>
      <c r="V77" s="76" t="s">
        <v>141</v>
      </c>
      <c r="W77" s="65" t="s">
        <v>142</v>
      </c>
      <c r="X77" s="104" t="s">
        <v>141</v>
      </c>
    </row>
    <row r="78" spans="2:24" x14ac:dyDescent="0.25">
      <c r="J78" s="60" t="s">
        <v>144</v>
      </c>
      <c r="K78" s="89">
        <f>numberto22(SumNumbers(CONCATENATE($C$6,12,O76)))</f>
        <v>15</v>
      </c>
      <c r="L78" s="97" t="s">
        <v>145</v>
      </c>
      <c r="M78" s="91">
        <f>numberto22(K78+K79)</f>
        <v>17</v>
      </c>
      <c r="N78" s="72" t="str">
        <f>IF(COUNTIF($K$6:$P$6,K78)&gt;0, "Да", "Нет")</f>
        <v>Нет</v>
      </c>
      <c r="O78" s="93">
        <f>ABS(numberto22(K78+NameArc*KarmicShadow($C$11,$E$14,VALUE($L$6))))</f>
        <v>2</v>
      </c>
      <c r="P78" s="61" t="str">
        <f>IF(COUNTIF($K$6:$P$6,O78)&gt;0, "Да", "Нет")</f>
        <v>Нет</v>
      </c>
      <c r="R78" s="60" t="s">
        <v>144</v>
      </c>
      <c r="S78" s="89">
        <f ca="1">numberto22(SumNumbers(CONCATENATE(S75,T75,U75)))</f>
        <v>19</v>
      </c>
      <c r="T78" s="97" t="s">
        <v>145</v>
      </c>
      <c r="U78" s="91">
        <f ca="1">numberto22(S78+S79)</f>
        <v>12</v>
      </c>
      <c r="V78" s="72" t="str">
        <f ca="1">IF(COUNTIF($K$6:$P$6,S78)&gt;0, "Да", "Нет")</f>
        <v>Нет</v>
      </c>
      <c r="W78" s="93">
        <f ca="1">ABS(numberto22(S78+NameArc*KarmicShadow($C$11,DATE($U$17,$T$17,$S$17),VALUE($L$6))))</f>
        <v>6</v>
      </c>
      <c r="X78" s="61" t="str">
        <f ca="1">IF(COUNTIF($K$6:$P$6,W78)&gt;0, "Да", "Нет")</f>
        <v>Нет</v>
      </c>
    </row>
    <row r="79" spans="2:24" ht="15.75" thickBot="1" x14ac:dyDescent="0.3">
      <c r="J79" s="16" t="s">
        <v>147</v>
      </c>
      <c r="K79" s="90">
        <f>numberto22((numberto22($C$6)+12+numberto22(SumNumbers(O76))))</f>
        <v>2</v>
      </c>
      <c r="L79" s="98" t="s">
        <v>148</v>
      </c>
      <c r="M79" s="92">
        <f>numberto22(ABS(K78-K79))</f>
        <v>13</v>
      </c>
      <c r="N79" s="17" t="str">
        <f>IF(COUNTIF($K$6:$P$6,K79)&gt;0, "Да", "Нет")</f>
        <v>Нет</v>
      </c>
      <c r="O79" s="94">
        <f>ABS(numberto22(K79+NameArc*KarmicShadow($C$11,$E$14,VALUE($L$6))))</f>
        <v>11</v>
      </c>
      <c r="P79" s="18" t="str">
        <f>IF(COUNTIF($K$6:$P$6,O79)&gt;0, "Да", "Нет")</f>
        <v>Нет</v>
      </c>
      <c r="R79" s="16" t="s">
        <v>147</v>
      </c>
      <c r="S79" s="90">
        <f ca="1">numberto22((numberto22(S75)+numberto22(T75)+numberto22(SumNumbers(U75))))</f>
        <v>15</v>
      </c>
      <c r="T79" s="98" t="s">
        <v>148</v>
      </c>
      <c r="U79" s="92">
        <f ca="1">numberto22(ABS(S78-S79))</f>
        <v>4</v>
      </c>
      <c r="V79" s="17" t="str">
        <f ca="1">IF(COUNTIF($K$6:$P$6,S79)&gt;0, "Да", "Нет")</f>
        <v>Нет</v>
      </c>
      <c r="W79" s="94">
        <f ca="1">ABS(numberto22(S79+NameArc*KarmicShadow($C$11,DATE($U$17,$T$17,$S$17),VALUE($L$6))))</f>
        <v>2</v>
      </c>
      <c r="X79" s="18" t="str">
        <f ca="1">IF(COUNTIF($K$6:$P$6,W79)&gt;0, "Да", "Нет")</f>
        <v>Нет</v>
      </c>
    </row>
    <row r="80" spans="2:24" x14ac:dyDescent="0.25">
      <c r="R80" s="75"/>
      <c r="S80" s="76">
        <f>DAY(DATE(YEAR(T76), MONTH(T76), DAY(T76) + 1))</f>
        <v>14</v>
      </c>
      <c r="T80" s="65">
        <f>MONTH(DATE(YEAR(T76), MONTH(T76), DAY(T76) + 1))</f>
        <v>12</v>
      </c>
      <c r="U80" s="65">
        <f>$U$17</f>
        <v>2022</v>
      </c>
      <c r="V80" s="76" t="s">
        <v>136</v>
      </c>
      <c r="W80" s="76">
        <f>YEAR(SolarDate($C$11,DATE($C$5,T80,S80)))</f>
        <v>2022</v>
      </c>
      <c r="X80" s="104"/>
    </row>
    <row r="81" spans="5:24" x14ac:dyDescent="0.25">
      <c r="R81" s="75" t="s">
        <v>137</v>
      </c>
      <c r="S81" s="76"/>
      <c r="T81" s="76">
        <f ca="1">DAY(EOMONTH(DATE(YEAR(TODAY()),T80,1),0))</f>
        <v>31</v>
      </c>
      <c r="U81" s="76"/>
      <c r="V81" s="76"/>
      <c r="W81" s="65"/>
      <c r="X81" s="104"/>
    </row>
    <row r="82" spans="5:24" x14ac:dyDescent="0.25">
      <c r="I82" s="65"/>
      <c r="R82" s="75"/>
      <c r="S82" s="76">
        <f ca="1">IF($S$16+S80&lt;=T81,$S$16+S80,($S$16+S80)-T81)</f>
        <v>20</v>
      </c>
      <c r="T82" s="76">
        <f>MONTH(T76)</f>
        <v>12</v>
      </c>
      <c r="U82" s="76">
        <f>YEAR(SolarDate($C$11,DATE(U80,T80,S80)))</f>
        <v>2022</v>
      </c>
      <c r="V82" s="76"/>
      <c r="W82" s="65"/>
      <c r="X82" s="104"/>
    </row>
    <row r="83" spans="5:24" x14ac:dyDescent="0.25">
      <c r="R83" s="105" t="s">
        <v>139</v>
      </c>
      <c r="T83" s="809">
        <f>DATE(U80,T80,S80)</f>
        <v>44909</v>
      </c>
      <c r="U83" s="809"/>
      <c r="W83" s="76"/>
      <c r="X83" s="104"/>
    </row>
    <row r="84" spans="5:24" ht="15.75" thickBot="1" x14ac:dyDescent="0.3">
      <c r="R84" s="106"/>
      <c r="S84" s="76"/>
      <c r="T84" s="810" t="s">
        <v>151</v>
      </c>
      <c r="U84" s="810"/>
      <c r="V84" s="76" t="s">
        <v>141</v>
      </c>
      <c r="W84" s="65" t="s">
        <v>142</v>
      </c>
      <c r="X84" s="104" t="s">
        <v>141</v>
      </c>
    </row>
    <row r="85" spans="5:24" s="28" customFormat="1" x14ac:dyDescent="0.25">
      <c r="E85" s="556"/>
      <c r="R85" s="60" t="s">
        <v>144</v>
      </c>
      <c r="S85" s="89">
        <f ca="1">numberto22(SumNumbers(CONCATENATE(S82,T82,U82)))</f>
        <v>11</v>
      </c>
      <c r="T85" s="97" t="s">
        <v>145</v>
      </c>
      <c r="U85" s="91">
        <f ca="1">numberto22(S85+S86)</f>
        <v>5</v>
      </c>
      <c r="V85" s="72" t="str">
        <f ca="1">IF(COUNTIF($K$6:$P$6,S85)&gt;0, "Да", "Нет")</f>
        <v>Нет</v>
      </c>
      <c r="W85" s="93">
        <f ca="1">ABS(numberto22(S85+NameArc*KarmicShadow($C$11,DATE($U$17,$T$17,$S$17),VALUE($L$6))))</f>
        <v>20</v>
      </c>
      <c r="X85" s="61" t="str">
        <f ca="1">IF(COUNTIF($K$6:$P$6,W85)&gt;0, "Да", "Нет")</f>
        <v>Нет</v>
      </c>
    </row>
    <row r="86" spans="5:24" s="28" customFormat="1" ht="15.75" thickBot="1" x14ac:dyDescent="0.3">
      <c r="E86" s="556"/>
      <c r="I86"/>
      <c r="R86" s="16" t="s">
        <v>147</v>
      </c>
      <c r="S86" s="90">
        <f ca="1">numberto22((numberto22(S82)+numberto22(T82)+numberto22(SumNumbers(U82))))</f>
        <v>16</v>
      </c>
      <c r="T86" s="98" t="s">
        <v>148</v>
      </c>
      <c r="U86" s="92">
        <f ca="1">numberto22(ABS(S85-S86))</f>
        <v>5</v>
      </c>
      <c r="V86" s="17" t="str">
        <f ca="1">IF(COUNTIF($K$6:$P$6,S86)&gt;0, "Да", "Нет")</f>
        <v>Да</v>
      </c>
      <c r="W86" s="94">
        <f ca="1">ABS(numberto22(S86+NameArc*KarmicShadow($C$11,DATE($U$17,$T$17,$S$17),VALUE($L$6))))</f>
        <v>3</v>
      </c>
      <c r="X86" s="18" t="str">
        <f ca="1">IF(COUNTIF($K$6:$P$6,W86)&gt;0, "Да", "Нет")</f>
        <v>Нет</v>
      </c>
    </row>
    <row r="87" spans="5:24" x14ac:dyDescent="0.25">
      <c r="I87" s="65"/>
      <c r="R87" s="75"/>
      <c r="S87" s="76">
        <f>DAY(DATE(YEAR(T83), MONTH(T83), DAY(T83) + 1))</f>
        <v>15</v>
      </c>
      <c r="T87" s="65">
        <f>MONTH(DATE(YEAR(T83), MONTH(T83), DAY(T83) + 1))</f>
        <v>12</v>
      </c>
      <c r="U87" s="65">
        <f>$U$17</f>
        <v>2022</v>
      </c>
      <c r="V87" s="76" t="s">
        <v>136</v>
      </c>
      <c r="W87" s="76">
        <f>YEAR(SolarDate($C$11,DATE($C$5,T87,S87)))</f>
        <v>2022</v>
      </c>
      <c r="X87" s="104"/>
    </row>
    <row r="88" spans="5:24" x14ac:dyDescent="0.25">
      <c r="I88" s="65"/>
      <c r="R88" s="75" t="s">
        <v>137</v>
      </c>
      <c r="S88" s="76"/>
      <c r="T88" s="76">
        <f ca="1">DAY(EOMONTH(DATE(YEAR(TODAY()),T87,1),0))</f>
        <v>31</v>
      </c>
      <c r="U88" s="76"/>
      <c r="V88" s="76"/>
      <c r="W88" s="65"/>
      <c r="X88" s="104"/>
    </row>
    <row r="89" spans="5:24" x14ac:dyDescent="0.25">
      <c r="R89" s="75"/>
      <c r="S89" s="76">
        <f ca="1">IF($S$16+S87&lt;=T88,$S$16+S87,($S$16+S87)-T88)</f>
        <v>21</v>
      </c>
      <c r="T89" s="76">
        <f>MONTH(T83)</f>
        <v>12</v>
      </c>
      <c r="U89" s="76">
        <f>YEAR(SolarDate($C$11,DATE(U87,T87,S87)))</f>
        <v>2022</v>
      </c>
      <c r="V89" s="76"/>
      <c r="W89" s="65"/>
      <c r="X89" s="104"/>
    </row>
    <row r="90" spans="5:24" x14ac:dyDescent="0.25">
      <c r="R90" s="105" t="s">
        <v>139</v>
      </c>
      <c r="T90" s="809">
        <f>DATE(U87,T87,S87)</f>
        <v>44910</v>
      </c>
      <c r="U90" s="809"/>
      <c r="W90" s="76"/>
      <c r="X90" s="104"/>
    </row>
    <row r="91" spans="5:24" ht="15.75" thickBot="1" x14ac:dyDescent="0.3">
      <c r="R91" s="106"/>
      <c r="S91" s="76"/>
      <c r="T91" s="810" t="s">
        <v>151</v>
      </c>
      <c r="U91" s="810"/>
      <c r="V91" s="76" t="s">
        <v>141</v>
      </c>
      <c r="W91" s="65" t="s">
        <v>142</v>
      </c>
      <c r="X91" s="104" t="s">
        <v>141</v>
      </c>
    </row>
    <row r="92" spans="5:24" x14ac:dyDescent="0.25">
      <c r="R92" s="60" t="s">
        <v>144</v>
      </c>
      <c r="S92" s="89">
        <f ca="1">numberto22(SumNumbers(CONCATENATE(S89,T89,U89)))</f>
        <v>12</v>
      </c>
      <c r="T92" s="97" t="s">
        <v>145</v>
      </c>
      <c r="U92" s="91">
        <f ca="1">numberto22(S92+S93)</f>
        <v>7</v>
      </c>
      <c r="V92" s="72" t="str">
        <f ca="1">IF(COUNTIF($K$6:$P$6,S92)&gt;0, "Да", "Нет")</f>
        <v>Нет</v>
      </c>
      <c r="W92" s="93">
        <f ca="1">ABS(numberto22(S92+NameArc*KarmicShadow($C$11,DATE($U$17,$T$17,$S$17),VALUE($L$6))))</f>
        <v>21</v>
      </c>
      <c r="X92" s="61" t="str">
        <f ca="1">IF(COUNTIF($K$6:$P$6,W92)&gt;0, "Да", "Нет")</f>
        <v>Нет</v>
      </c>
    </row>
    <row r="93" spans="5:24" ht="15.75" thickBot="1" x14ac:dyDescent="0.3">
      <c r="R93" s="16" t="s">
        <v>147</v>
      </c>
      <c r="S93" s="90">
        <f ca="1">numberto22((numberto22(S89)+numberto22(T89)+numberto22(SumNumbers(U89))))</f>
        <v>17</v>
      </c>
      <c r="T93" s="98" t="s">
        <v>148</v>
      </c>
      <c r="U93" s="92">
        <f ca="1">numberto22(ABS(S92-S93))</f>
        <v>5</v>
      </c>
      <c r="V93" s="17" t="str">
        <f ca="1">IF(COUNTIF($K$6:$P$6,S93)&gt;0, "Да", "Нет")</f>
        <v>Нет</v>
      </c>
      <c r="W93" s="94">
        <f ca="1">ABS(numberto22(S93+NameArc*KarmicShadow($C$11,DATE($U$17,$T$17,$S$17),VALUE($L$6))))</f>
        <v>4</v>
      </c>
      <c r="X93" s="18" t="str">
        <f ca="1">IF(COUNTIF($K$6:$P$6,W93)&gt;0, "Да", "Нет")</f>
        <v>Да</v>
      </c>
    </row>
    <row r="94" spans="5:24" x14ac:dyDescent="0.25">
      <c r="R94" s="75"/>
      <c r="S94" s="76">
        <f>DAY(DATE(YEAR(T90), MONTH(T90), DAY(T90) + 1))</f>
        <v>16</v>
      </c>
      <c r="T94" s="65">
        <f>MONTH(DATE(YEAR(T90), MONTH(T90), DAY(T90) + 1))</f>
        <v>12</v>
      </c>
      <c r="U94" s="65">
        <f>$U$17</f>
        <v>2022</v>
      </c>
      <c r="V94" s="76" t="s">
        <v>136</v>
      </c>
      <c r="W94" s="76">
        <f>YEAR(SolarDate($C$11,DATE($C$5,T94,S94)))</f>
        <v>2022</v>
      </c>
      <c r="X94" s="104"/>
    </row>
    <row r="95" spans="5:24" x14ac:dyDescent="0.25">
      <c r="R95" s="75" t="s">
        <v>137</v>
      </c>
      <c r="S95" s="76"/>
      <c r="T95" s="76">
        <f ca="1">DAY(EOMONTH(DATE(YEAR(TODAY()),T94,1),0))</f>
        <v>31</v>
      </c>
      <c r="U95" s="76"/>
      <c r="V95" s="76"/>
      <c r="W95" s="65"/>
      <c r="X95" s="104"/>
    </row>
    <row r="96" spans="5:24" x14ac:dyDescent="0.25">
      <c r="R96" s="75"/>
      <c r="S96" s="76">
        <f ca="1">IF($S$16+S94&lt;=T95,$S$16+S94,($S$16+S94)-T95)</f>
        <v>22</v>
      </c>
      <c r="T96" s="76">
        <f>MONTH(T90)</f>
        <v>12</v>
      </c>
      <c r="U96" s="76">
        <f>YEAR(SolarDate($C$11,DATE(U94,T94,S94)))</f>
        <v>2022</v>
      </c>
      <c r="V96" s="76"/>
      <c r="W96" s="65"/>
      <c r="X96" s="104"/>
    </row>
    <row r="97" spans="18:24" x14ac:dyDescent="0.25">
      <c r="R97" s="105" t="s">
        <v>139</v>
      </c>
      <c r="T97" s="809">
        <f>DATE(U94,T94,S94)</f>
        <v>44911</v>
      </c>
      <c r="U97" s="809"/>
      <c r="W97" s="76"/>
      <c r="X97" s="104"/>
    </row>
    <row r="98" spans="18:24" ht="15.75" thickBot="1" x14ac:dyDescent="0.3">
      <c r="R98" s="106"/>
      <c r="S98" s="76"/>
      <c r="T98" s="810" t="s">
        <v>151</v>
      </c>
      <c r="U98" s="810"/>
      <c r="V98" s="76" t="s">
        <v>141</v>
      </c>
      <c r="W98" s="65" t="s">
        <v>142</v>
      </c>
      <c r="X98" s="104" t="s">
        <v>141</v>
      </c>
    </row>
    <row r="99" spans="18:24" x14ac:dyDescent="0.25">
      <c r="R99" s="60" t="s">
        <v>144</v>
      </c>
      <c r="S99" s="89">
        <f ca="1">numberto22(SumNumbers(CONCATENATE(S96,T96,U96)))</f>
        <v>13</v>
      </c>
      <c r="T99" s="97" t="s">
        <v>145</v>
      </c>
      <c r="U99" s="91">
        <f ca="1">numberto22(S99+S100)</f>
        <v>9</v>
      </c>
      <c r="V99" s="72" t="str">
        <f ca="1">IF(COUNTIF($K$6:$P$6,S99)&gt;0, "Да", "Нет")</f>
        <v>Нет</v>
      </c>
      <c r="W99" s="93">
        <f ca="1">ABS(numberto22(S99+NameArc*KarmicShadow($C$11,DATE($U$17,$T$17,$S$17),VALUE($L$6))))</f>
        <v>22</v>
      </c>
      <c r="X99" s="61" t="str">
        <f ca="1">IF(COUNTIF($K$6:$P$6,W99)&gt;0, "Да", "Нет")</f>
        <v>Да</v>
      </c>
    </row>
    <row r="100" spans="18:24" ht="15.75" thickBot="1" x14ac:dyDescent="0.3">
      <c r="R100" s="16" t="s">
        <v>147</v>
      </c>
      <c r="S100" s="90">
        <f ca="1">numberto22((numberto22(S96)+numberto22(T96)+numberto22(SumNumbers(U96))))</f>
        <v>18</v>
      </c>
      <c r="T100" s="98" t="s">
        <v>148</v>
      </c>
      <c r="U100" s="92">
        <f ca="1">numberto22(ABS(S99-S100))</f>
        <v>5</v>
      </c>
      <c r="V100" s="17" t="str">
        <f ca="1">IF(COUNTIF($K$6:$P$6,S100)&gt;0, "Да", "Нет")</f>
        <v>Нет</v>
      </c>
      <c r="W100" s="94">
        <f ca="1">ABS(numberto22(S100+NameArc*KarmicShadow($C$11,DATE($U$17,$T$17,$S$17),VALUE($L$6))))</f>
        <v>5</v>
      </c>
      <c r="X100" s="18" t="str">
        <f ca="1">IF(COUNTIF($K$6:$P$6,W100)&gt;0, "Да", "Нет")</f>
        <v>Нет</v>
      </c>
    </row>
    <row r="101" spans="18:24" x14ac:dyDescent="0.25">
      <c r="R101" s="75"/>
      <c r="S101" s="76">
        <f>DAY(DATE(YEAR(T97), MONTH(T97), DAY(T97) + 1))</f>
        <v>17</v>
      </c>
      <c r="T101" s="65">
        <f>MONTH(DATE(YEAR(T97), MONTH(T97), DAY(T97) + 1))</f>
        <v>12</v>
      </c>
      <c r="U101" s="65">
        <f>$U$17</f>
        <v>2022</v>
      </c>
      <c r="V101" s="76" t="s">
        <v>136</v>
      </c>
      <c r="W101" s="76">
        <f>YEAR(SolarDate($C$11,DATE($C$5,T101,S101)))</f>
        <v>2022</v>
      </c>
      <c r="X101" s="104"/>
    </row>
    <row r="102" spans="18:24" x14ac:dyDescent="0.25">
      <c r="R102" s="75" t="s">
        <v>137</v>
      </c>
      <c r="S102" s="76"/>
      <c r="T102" s="76">
        <f ca="1">DAY(EOMONTH(DATE(YEAR(TODAY()),T101,1),0))</f>
        <v>31</v>
      </c>
      <c r="U102" s="76"/>
      <c r="V102" s="76"/>
      <c r="W102" s="65"/>
      <c r="X102" s="104"/>
    </row>
    <row r="103" spans="18:24" x14ac:dyDescent="0.25">
      <c r="R103" s="75"/>
      <c r="S103" s="76">
        <f ca="1">IF($S$16+S101&lt;=T102,$S$16+S101,($S$16+S101)-T102)</f>
        <v>23</v>
      </c>
      <c r="T103" s="76">
        <f>MONTH(T97)</f>
        <v>12</v>
      </c>
      <c r="U103" s="76">
        <f>YEAR(SolarDate($C$11,DATE(U101,T101,S101)))</f>
        <v>2022</v>
      </c>
      <c r="V103" s="76"/>
      <c r="W103" s="65"/>
      <c r="X103" s="104"/>
    </row>
    <row r="104" spans="18:24" x14ac:dyDescent="0.25">
      <c r="R104" s="105" t="s">
        <v>139</v>
      </c>
      <c r="T104" s="809">
        <f>DATE(U101,T101,S101)</f>
        <v>44912</v>
      </c>
      <c r="U104" s="809"/>
      <c r="W104" s="76"/>
      <c r="X104" s="104"/>
    </row>
    <row r="105" spans="18:24" ht="15.75" thickBot="1" x14ac:dyDescent="0.3">
      <c r="R105" s="106"/>
      <c r="S105" s="76"/>
      <c r="T105" s="810" t="s">
        <v>151</v>
      </c>
      <c r="U105" s="810"/>
      <c r="V105" s="76" t="s">
        <v>141</v>
      </c>
      <c r="W105" s="65" t="s">
        <v>142</v>
      </c>
      <c r="X105" s="104" t="s">
        <v>141</v>
      </c>
    </row>
    <row r="106" spans="18:24" x14ac:dyDescent="0.25">
      <c r="R106" s="60" t="s">
        <v>144</v>
      </c>
      <c r="S106" s="89">
        <f ca="1">numberto22(SumNumbers(CONCATENATE(S103,T103,U103)))</f>
        <v>14</v>
      </c>
      <c r="T106" s="97" t="s">
        <v>145</v>
      </c>
      <c r="U106" s="91">
        <f ca="1">numberto22(S106+S107)</f>
        <v>11</v>
      </c>
      <c r="V106" s="72" t="str">
        <f ca="1">IF(COUNTIF($K$6:$P$6,S106)&gt;0, "Да", "Нет")</f>
        <v>Нет</v>
      </c>
      <c r="W106" s="93">
        <f ca="1">ABS(numberto22(S106+NameArc*KarmicShadow($C$11,DATE($U$17,$T$17,$S$17),VALUE($L$6))))</f>
        <v>1</v>
      </c>
      <c r="X106" s="61" t="str">
        <f ca="1">IF(COUNTIF($K$6:$P$6,W106)&gt;0, "Да", "Нет")</f>
        <v>Нет</v>
      </c>
    </row>
    <row r="107" spans="18:24" ht="15.75" thickBot="1" x14ac:dyDescent="0.3">
      <c r="R107" s="16" t="s">
        <v>147</v>
      </c>
      <c r="S107" s="90">
        <f ca="1">numberto22((numberto22(S103)+numberto22(T103)+numberto22(SumNumbers(U103))))</f>
        <v>19</v>
      </c>
      <c r="T107" s="98" t="s">
        <v>148</v>
      </c>
      <c r="U107" s="92">
        <f ca="1">numberto22(ABS(S106-S107))</f>
        <v>5</v>
      </c>
      <c r="V107" s="17" t="str">
        <f ca="1">IF(COUNTIF($K$6:$P$6,S107)&gt;0, "Да", "Нет")</f>
        <v>Нет</v>
      </c>
      <c r="W107" s="94">
        <f ca="1">ABS(numberto22(S107+NameArc*KarmicShadow($C$11,DATE($U$17,$T$17,$S$17),VALUE($L$6))))</f>
        <v>6</v>
      </c>
      <c r="X107" s="18" t="str">
        <f ca="1">IF(COUNTIF($K$6:$P$6,W107)&gt;0, "Да", "Нет")</f>
        <v>Нет</v>
      </c>
    </row>
    <row r="108" spans="18:24" x14ac:dyDescent="0.25">
      <c r="R108" s="75"/>
      <c r="S108" s="76">
        <f>DAY(DATE(YEAR(T104), MONTH(T104), DAY(T104) + 1))</f>
        <v>18</v>
      </c>
      <c r="T108" s="65">
        <f>MONTH(DATE(YEAR(T104), MONTH(T104), DAY(T104) + 1))</f>
        <v>12</v>
      </c>
      <c r="U108" s="65">
        <f>$U$17</f>
        <v>2022</v>
      </c>
      <c r="V108" s="76" t="s">
        <v>136</v>
      </c>
      <c r="W108" s="76">
        <f>YEAR(SolarDate($C$11,DATE($C$5,T108,S108)))</f>
        <v>2022</v>
      </c>
      <c r="X108" s="104"/>
    </row>
    <row r="109" spans="18:24" x14ac:dyDescent="0.25">
      <c r="R109" s="75" t="s">
        <v>137</v>
      </c>
      <c r="S109" s="76"/>
      <c r="T109" s="76">
        <f ca="1">DAY(EOMONTH(DATE(YEAR(TODAY()),T108,1),0))</f>
        <v>31</v>
      </c>
      <c r="U109" s="76"/>
      <c r="V109" s="76"/>
      <c r="W109" s="65"/>
      <c r="X109" s="104"/>
    </row>
    <row r="110" spans="18:24" x14ac:dyDescent="0.25">
      <c r="R110" s="75"/>
      <c r="S110" s="76">
        <f ca="1">IF($S$16+S108&lt;=T109,$S$16+S108,($S$16+S108)-T109)</f>
        <v>24</v>
      </c>
      <c r="T110" s="76">
        <f>MONTH(T104)</f>
        <v>12</v>
      </c>
      <c r="U110" s="76">
        <f>YEAR(SolarDate($C$11,DATE(U108,T108,S108)))</f>
        <v>2022</v>
      </c>
      <c r="V110" s="76"/>
      <c r="W110" s="65"/>
      <c r="X110" s="104"/>
    </row>
    <row r="111" spans="18:24" x14ac:dyDescent="0.25">
      <c r="R111" s="105" t="s">
        <v>139</v>
      </c>
      <c r="T111" s="809">
        <f>DATE(U108,T108,S108)</f>
        <v>44913</v>
      </c>
      <c r="U111" s="809"/>
      <c r="W111" s="76"/>
      <c r="X111" s="104"/>
    </row>
    <row r="112" spans="18:24" ht="15.75" thickBot="1" x14ac:dyDescent="0.3">
      <c r="R112" s="106"/>
      <c r="S112" s="76"/>
      <c r="T112" s="810" t="s">
        <v>151</v>
      </c>
      <c r="U112" s="810"/>
      <c r="V112" s="76" t="s">
        <v>141</v>
      </c>
      <c r="W112" s="65" t="s">
        <v>142</v>
      </c>
      <c r="X112" s="104" t="s">
        <v>141</v>
      </c>
    </row>
    <row r="113" spans="18:24" x14ac:dyDescent="0.25">
      <c r="R113" s="60" t="s">
        <v>144</v>
      </c>
      <c r="S113" s="89">
        <f ca="1">numberto22(SumNumbers(CONCATENATE(S110,T110,U110)))</f>
        <v>15</v>
      </c>
      <c r="T113" s="97" t="s">
        <v>145</v>
      </c>
      <c r="U113" s="91">
        <f ca="1">numberto22(S113+S114)</f>
        <v>13</v>
      </c>
      <c r="V113" s="72" t="str">
        <f ca="1">IF(COUNTIF($K$6:$P$6,S113)&gt;0, "Да", "Нет")</f>
        <v>Нет</v>
      </c>
      <c r="W113" s="93">
        <f ca="1">ABS(numberto22(S113+NameArc*KarmicShadow($C$11,DATE($U$17,$T$17,$S$17),VALUE($L$6))))</f>
        <v>2</v>
      </c>
      <c r="X113" s="61" t="str">
        <f ca="1">IF(COUNTIF($K$6:$P$6,W113)&gt;0, "Да", "Нет")</f>
        <v>Нет</v>
      </c>
    </row>
    <row r="114" spans="18:24" ht="15.75" thickBot="1" x14ac:dyDescent="0.3">
      <c r="R114" s="16" t="s">
        <v>147</v>
      </c>
      <c r="S114" s="90">
        <f ca="1">numberto22((numberto22(S110)+numberto22(T110)+numberto22(SumNumbers(U110))))</f>
        <v>20</v>
      </c>
      <c r="T114" s="98" t="s">
        <v>148</v>
      </c>
      <c r="U114" s="92">
        <f ca="1">numberto22(ABS(S113-S114))</f>
        <v>5</v>
      </c>
      <c r="V114" s="17" t="str">
        <f ca="1">IF(COUNTIF($K$6:$P$6,S114)&gt;0, "Да", "Нет")</f>
        <v>Нет</v>
      </c>
      <c r="W114" s="94">
        <f ca="1">ABS(numberto22(S114+NameArc*KarmicShadow($C$11,DATE($U$17,$T$17,$S$17),VALUE($L$6))))</f>
        <v>7</v>
      </c>
      <c r="X114" s="18" t="str">
        <f ca="1">IF(COUNTIF($K$6:$P$6,W114)&gt;0, "Да", "Нет")</f>
        <v>Нет</v>
      </c>
    </row>
  </sheetData>
  <mergeCells count="82">
    <mergeCell ref="E63:F63"/>
    <mergeCell ref="D64:E64"/>
    <mergeCell ref="D52:E52"/>
    <mergeCell ref="E55:F55"/>
    <mergeCell ref="D56:E56"/>
    <mergeCell ref="E59:F59"/>
    <mergeCell ref="D60:E60"/>
    <mergeCell ref="E43:F43"/>
    <mergeCell ref="D44:E44"/>
    <mergeCell ref="E47:F47"/>
    <mergeCell ref="D48:E48"/>
    <mergeCell ref="E51:F51"/>
    <mergeCell ref="D32:E32"/>
    <mergeCell ref="E35:F35"/>
    <mergeCell ref="D36:E36"/>
    <mergeCell ref="E39:F39"/>
    <mergeCell ref="D40:E40"/>
    <mergeCell ref="E23:F23"/>
    <mergeCell ref="D24:E24"/>
    <mergeCell ref="E27:F27"/>
    <mergeCell ref="D28:E28"/>
    <mergeCell ref="E31:F31"/>
    <mergeCell ref="T21:U21"/>
    <mergeCell ref="M16:N16"/>
    <mergeCell ref="L17:M17"/>
    <mergeCell ref="L67:M67"/>
    <mergeCell ref="T20:U20"/>
    <mergeCell ref="T27:U27"/>
    <mergeCell ref="T28:U28"/>
    <mergeCell ref="T34:U34"/>
    <mergeCell ref="T35:U35"/>
    <mergeCell ref="T41:U41"/>
    <mergeCell ref="T42:U42"/>
    <mergeCell ref="T48:U48"/>
    <mergeCell ref="T49:U49"/>
    <mergeCell ref="T55:U55"/>
    <mergeCell ref="T56:U56"/>
    <mergeCell ref="T62:U62"/>
    <mergeCell ref="L72:M72"/>
    <mergeCell ref="L77:M77"/>
    <mergeCell ref="L42:M42"/>
    <mergeCell ref="L52:M52"/>
    <mergeCell ref="L47:M47"/>
    <mergeCell ref="L57:M57"/>
    <mergeCell ref="M66:N66"/>
    <mergeCell ref="M71:N71"/>
    <mergeCell ref="M76:N76"/>
    <mergeCell ref="M61:N61"/>
    <mergeCell ref="M46:N46"/>
    <mergeCell ref="M51:N51"/>
    <mergeCell ref="M56:N56"/>
    <mergeCell ref="J3:Q3"/>
    <mergeCell ref="D15:E15"/>
    <mergeCell ref="D20:E20"/>
    <mergeCell ref="L22:M22"/>
    <mergeCell ref="L62:M62"/>
    <mergeCell ref="E14:F14"/>
    <mergeCell ref="E19:F19"/>
    <mergeCell ref="M21:N21"/>
    <mergeCell ref="M26:N26"/>
    <mergeCell ref="M31:N31"/>
    <mergeCell ref="L27:M27"/>
    <mergeCell ref="L32:M32"/>
    <mergeCell ref="L37:M37"/>
    <mergeCell ref="M36:N36"/>
    <mergeCell ref="K7:L7"/>
    <mergeCell ref="M41:N41"/>
    <mergeCell ref="T63:U63"/>
    <mergeCell ref="T69:U69"/>
    <mergeCell ref="T70:U70"/>
    <mergeCell ref="T76:U76"/>
    <mergeCell ref="T77:U77"/>
    <mergeCell ref="T83:U83"/>
    <mergeCell ref="T84:U84"/>
    <mergeCell ref="T90:U90"/>
    <mergeCell ref="T91:U91"/>
    <mergeCell ref="T112:U112"/>
    <mergeCell ref="T97:U97"/>
    <mergeCell ref="T98:U98"/>
    <mergeCell ref="T104:U104"/>
    <mergeCell ref="T105:U105"/>
    <mergeCell ref="T111:U111"/>
  </mergeCells>
  <conditionalFormatting sqref="F17:F18 I19:I21 H16:H18 N28:N29 I40 N33:N34 P33:P34 N38:N39 P38:P39 N43:N44 P43:P44 N48:N49 P48:P49 N53:N54 P53:P54 N58:N59 P58:P59 N63:N64 P63:P64 N68:N69 P68:P69 N73:N74 P73:P74 I87:I88 P78:P79 N23:N24 I30:I31 P28:P29 I44:I48 I52:I53 I57:I58 I62:I63 I67:I68 I72:I73 I77:I78 I82:I83 I35:I36 P23:P24 V22:V23 X23">
    <cfRule type="containsText" dxfId="67" priority="85" operator="containsText" text="Да">
      <formula>NOT(ISERROR(SEARCH("Да",F16)))</formula>
    </cfRule>
  </conditionalFormatting>
  <conditionalFormatting sqref="N78:N79">
    <cfRule type="containsText" dxfId="66" priority="82" operator="containsText" text="Да">
      <formula>NOT(ISERROR(SEARCH("Да",N78)))</formula>
    </cfRule>
  </conditionalFormatting>
  <conditionalFormatting sqref="F16">
    <cfRule type="containsText" dxfId="65" priority="81" operator="containsText" text="Да">
      <formula>NOT(ISERROR(SEARCH("Да",F16)))</formula>
    </cfRule>
  </conditionalFormatting>
  <conditionalFormatting sqref="X22">
    <cfRule type="containsText" dxfId="64" priority="66" operator="containsText" text="Да">
      <formula>NOT(ISERROR(SEARCH("Да",X22)))</formula>
    </cfRule>
  </conditionalFormatting>
  <conditionalFormatting sqref="N18:N19">
    <cfRule type="containsText" dxfId="63" priority="64" operator="containsText" text="Да">
      <formula>NOT(ISERROR(SEARCH("Да",N18)))</formula>
    </cfRule>
  </conditionalFormatting>
  <conditionalFormatting sqref="P18:P19">
    <cfRule type="containsText" dxfId="62" priority="63" operator="containsText" text="Да">
      <formula>NOT(ISERROR(SEARCH("Да",P18)))</formula>
    </cfRule>
  </conditionalFormatting>
  <conditionalFormatting sqref="F22">
    <cfRule type="containsText" dxfId="61" priority="62" operator="containsText" text="Да">
      <formula>NOT(ISERROR(SEARCH("Да",F22)))</formula>
    </cfRule>
  </conditionalFormatting>
  <conditionalFormatting sqref="F21">
    <cfRule type="containsText" dxfId="60" priority="61" operator="containsText" text="Да">
      <formula>NOT(ISERROR(SEARCH("Да",F21)))</formula>
    </cfRule>
  </conditionalFormatting>
  <conditionalFormatting sqref="H21:H22">
    <cfRule type="containsText" dxfId="59" priority="60" operator="containsText" text="Да">
      <formula>NOT(ISERROR(SEARCH("Да",H21)))</formula>
    </cfRule>
  </conditionalFormatting>
  <conditionalFormatting sqref="F26">
    <cfRule type="containsText" dxfId="58" priority="59" operator="containsText" text="Да">
      <formula>NOT(ISERROR(SEARCH("Да",F26)))</formula>
    </cfRule>
  </conditionalFormatting>
  <conditionalFormatting sqref="F25">
    <cfRule type="containsText" dxfId="57" priority="58" operator="containsText" text="Да">
      <formula>NOT(ISERROR(SEARCH("Да",F25)))</formula>
    </cfRule>
  </conditionalFormatting>
  <conditionalFormatting sqref="H25:H26">
    <cfRule type="containsText" dxfId="56" priority="57" operator="containsText" text="Да">
      <formula>NOT(ISERROR(SEARCH("Да",H25)))</formula>
    </cfRule>
  </conditionalFormatting>
  <conditionalFormatting sqref="F30">
    <cfRule type="containsText" dxfId="55" priority="56" operator="containsText" text="Да">
      <formula>NOT(ISERROR(SEARCH("Да",F30)))</formula>
    </cfRule>
  </conditionalFormatting>
  <conditionalFormatting sqref="F29">
    <cfRule type="containsText" dxfId="54" priority="55" operator="containsText" text="Да">
      <formula>NOT(ISERROR(SEARCH("Да",F29)))</formula>
    </cfRule>
  </conditionalFormatting>
  <conditionalFormatting sqref="H29:H30">
    <cfRule type="containsText" dxfId="53" priority="54" operator="containsText" text="Да">
      <formula>NOT(ISERROR(SEARCH("Да",H29)))</formula>
    </cfRule>
  </conditionalFormatting>
  <conditionalFormatting sqref="F34">
    <cfRule type="containsText" dxfId="52" priority="53" operator="containsText" text="Да">
      <formula>NOT(ISERROR(SEARCH("Да",F34)))</formula>
    </cfRule>
  </conditionalFormatting>
  <conditionalFormatting sqref="F33">
    <cfRule type="containsText" dxfId="51" priority="52" operator="containsText" text="Да">
      <formula>NOT(ISERROR(SEARCH("Да",F33)))</formula>
    </cfRule>
  </conditionalFormatting>
  <conditionalFormatting sqref="H33:H34">
    <cfRule type="containsText" dxfId="50" priority="51" operator="containsText" text="Да">
      <formula>NOT(ISERROR(SEARCH("Да",H33)))</formula>
    </cfRule>
  </conditionalFormatting>
  <conditionalFormatting sqref="F38">
    <cfRule type="containsText" dxfId="49" priority="50" operator="containsText" text="Да">
      <formula>NOT(ISERROR(SEARCH("Да",F38)))</formula>
    </cfRule>
  </conditionalFormatting>
  <conditionalFormatting sqref="F37">
    <cfRule type="containsText" dxfId="48" priority="49" operator="containsText" text="Да">
      <formula>NOT(ISERROR(SEARCH("Да",F37)))</formula>
    </cfRule>
  </conditionalFormatting>
  <conditionalFormatting sqref="H37:H38">
    <cfRule type="containsText" dxfId="47" priority="48" operator="containsText" text="Да">
      <formula>NOT(ISERROR(SEARCH("Да",H37)))</formula>
    </cfRule>
  </conditionalFormatting>
  <conditionalFormatting sqref="F42">
    <cfRule type="containsText" dxfId="46" priority="47" operator="containsText" text="Да">
      <formula>NOT(ISERROR(SEARCH("Да",F42)))</formula>
    </cfRule>
  </conditionalFormatting>
  <conditionalFormatting sqref="F41">
    <cfRule type="containsText" dxfId="45" priority="46" operator="containsText" text="Да">
      <formula>NOT(ISERROR(SEARCH("Да",F41)))</formula>
    </cfRule>
  </conditionalFormatting>
  <conditionalFormatting sqref="H41:H42">
    <cfRule type="containsText" dxfId="44" priority="45" operator="containsText" text="Да">
      <formula>NOT(ISERROR(SEARCH("Да",H41)))</formula>
    </cfRule>
  </conditionalFormatting>
  <conditionalFormatting sqref="F46">
    <cfRule type="containsText" dxfId="43" priority="44" operator="containsText" text="Да">
      <formula>NOT(ISERROR(SEARCH("Да",F46)))</formula>
    </cfRule>
  </conditionalFormatting>
  <conditionalFormatting sqref="F45">
    <cfRule type="containsText" dxfId="42" priority="43" operator="containsText" text="Да">
      <formula>NOT(ISERROR(SEARCH("Да",F45)))</formula>
    </cfRule>
  </conditionalFormatting>
  <conditionalFormatting sqref="H45:H46">
    <cfRule type="containsText" dxfId="41" priority="42" operator="containsText" text="Да">
      <formula>NOT(ISERROR(SEARCH("Да",H45)))</formula>
    </cfRule>
  </conditionalFormatting>
  <conditionalFormatting sqref="F50">
    <cfRule type="containsText" dxfId="40" priority="41" operator="containsText" text="Да">
      <formula>NOT(ISERROR(SEARCH("Да",F50)))</formula>
    </cfRule>
  </conditionalFormatting>
  <conditionalFormatting sqref="F49">
    <cfRule type="containsText" dxfId="39" priority="40" operator="containsText" text="Да">
      <formula>NOT(ISERROR(SEARCH("Да",F49)))</formula>
    </cfRule>
  </conditionalFormatting>
  <conditionalFormatting sqref="H49:H50">
    <cfRule type="containsText" dxfId="38" priority="39" operator="containsText" text="Да">
      <formula>NOT(ISERROR(SEARCH("Да",H49)))</formula>
    </cfRule>
  </conditionalFormatting>
  <conditionalFormatting sqref="F54">
    <cfRule type="containsText" dxfId="37" priority="38" operator="containsText" text="Да">
      <formula>NOT(ISERROR(SEARCH("Да",F54)))</formula>
    </cfRule>
  </conditionalFormatting>
  <conditionalFormatting sqref="F53">
    <cfRule type="containsText" dxfId="36" priority="37" operator="containsText" text="Да">
      <formula>NOT(ISERROR(SEARCH("Да",F53)))</formula>
    </cfRule>
  </conditionalFormatting>
  <conditionalFormatting sqref="H53:H54">
    <cfRule type="containsText" dxfId="35" priority="36" operator="containsText" text="Да">
      <formula>NOT(ISERROR(SEARCH("Да",H53)))</formula>
    </cfRule>
  </conditionalFormatting>
  <conditionalFormatting sqref="F58">
    <cfRule type="containsText" dxfId="34" priority="35" operator="containsText" text="Да">
      <formula>NOT(ISERROR(SEARCH("Да",F58)))</formula>
    </cfRule>
  </conditionalFormatting>
  <conditionalFormatting sqref="F57">
    <cfRule type="containsText" dxfId="33" priority="34" operator="containsText" text="Да">
      <formula>NOT(ISERROR(SEARCH("Да",F57)))</formula>
    </cfRule>
  </conditionalFormatting>
  <conditionalFormatting sqref="H57:H58">
    <cfRule type="containsText" dxfId="32" priority="33" operator="containsText" text="Да">
      <formula>NOT(ISERROR(SEARCH("Да",H57)))</formula>
    </cfRule>
  </conditionalFormatting>
  <conditionalFormatting sqref="F62">
    <cfRule type="containsText" dxfId="31" priority="32" operator="containsText" text="Да">
      <formula>NOT(ISERROR(SEARCH("Да",F62)))</formula>
    </cfRule>
  </conditionalFormatting>
  <conditionalFormatting sqref="F61">
    <cfRule type="containsText" dxfId="30" priority="31" operator="containsText" text="Да">
      <formula>NOT(ISERROR(SEARCH("Да",F61)))</formula>
    </cfRule>
  </conditionalFormatting>
  <conditionalFormatting sqref="H61:H62">
    <cfRule type="containsText" dxfId="29" priority="30" operator="containsText" text="Да">
      <formula>NOT(ISERROR(SEARCH("Да",H61)))</formula>
    </cfRule>
  </conditionalFormatting>
  <conditionalFormatting sqref="F66">
    <cfRule type="containsText" dxfId="28" priority="29" operator="containsText" text="Да">
      <formula>NOT(ISERROR(SEARCH("Да",F66)))</formula>
    </cfRule>
  </conditionalFormatting>
  <conditionalFormatting sqref="F65">
    <cfRule type="containsText" dxfId="27" priority="28" operator="containsText" text="Да">
      <formula>NOT(ISERROR(SEARCH("Да",F65)))</formula>
    </cfRule>
  </conditionalFormatting>
  <conditionalFormatting sqref="H65:H66">
    <cfRule type="containsText" dxfId="26" priority="27" operator="containsText" text="Да">
      <formula>NOT(ISERROR(SEARCH("Да",H65)))</formula>
    </cfRule>
  </conditionalFormatting>
  <conditionalFormatting sqref="V29:V30 X30">
    <cfRule type="containsText" dxfId="25" priority="26" operator="containsText" text="Да">
      <formula>NOT(ISERROR(SEARCH("Да",V29)))</formula>
    </cfRule>
  </conditionalFormatting>
  <conditionalFormatting sqref="X29">
    <cfRule type="containsText" dxfId="24" priority="25" operator="containsText" text="Да">
      <formula>NOT(ISERROR(SEARCH("Да",X29)))</formula>
    </cfRule>
  </conditionalFormatting>
  <conditionalFormatting sqref="V36:V37 X37">
    <cfRule type="containsText" dxfId="23" priority="24" operator="containsText" text="Да">
      <formula>NOT(ISERROR(SEARCH("Да",V36)))</formula>
    </cfRule>
  </conditionalFormatting>
  <conditionalFormatting sqref="X36">
    <cfRule type="containsText" dxfId="22" priority="23" operator="containsText" text="Да">
      <formula>NOT(ISERROR(SEARCH("Да",X36)))</formula>
    </cfRule>
  </conditionalFormatting>
  <conditionalFormatting sqref="V43:V44 X44">
    <cfRule type="containsText" dxfId="21" priority="22" operator="containsText" text="Да">
      <formula>NOT(ISERROR(SEARCH("Да",V43)))</formula>
    </cfRule>
  </conditionalFormatting>
  <conditionalFormatting sqref="X43">
    <cfRule type="containsText" dxfId="20" priority="21" operator="containsText" text="Да">
      <formula>NOT(ISERROR(SEARCH("Да",X43)))</formula>
    </cfRule>
  </conditionalFormatting>
  <conditionalFormatting sqref="V50:V51 X51">
    <cfRule type="containsText" dxfId="19" priority="20" operator="containsText" text="Да">
      <formula>NOT(ISERROR(SEARCH("Да",V50)))</formula>
    </cfRule>
  </conditionalFormatting>
  <conditionalFormatting sqref="X50">
    <cfRule type="containsText" dxfId="18" priority="19" operator="containsText" text="Да">
      <formula>NOT(ISERROR(SEARCH("Да",X50)))</formula>
    </cfRule>
  </conditionalFormatting>
  <conditionalFormatting sqref="V57:V58 X58">
    <cfRule type="containsText" dxfId="17" priority="18" operator="containsText" text="Да">
      <formula>NOT(ISERROR(SEARCH("Да",V57)))</formula>
    </cfRule>
  </conditionalFormatting>
  <conditionalFormatting sqref="X57">
    <cfRule type="containsText" dxfId="16" priority="17" operator="containsText" text="Да">
      <formula>NOT(ISERROR(SEARCH("Да",X57)))</formula>
    </cfRule>
  </conditionalFormatting>
  <conditionalFormatting sqref="V64:V65 X65">
    <cfRule type="containsText" dxfId="15" priority="16" operator="containsText" text="Да">
      <formula>NOT(ISERROR(SEARCH("Да",V64)))</formula>
    </cfRule>
  </conditionalFormatting>
  <conditionalFormatting sqref="X64">
    <cfRule type="containsText" dxfId="14" priority="15" operator="containsText" text="Да">
      <formula>NOT(ISERROR(SEARCH("Да",X64)))</formula>
    </cfRule>
  </conditionalFormatting>
  <conditionalFormatting sqref="V71:V72 X72">
    <cfRule type="containsText" dxfId="13" priority="14" operator="containsText" text="Да">
      <formula>NOT(ISERROR(SEARCH("Да",V71)))</formula>
    </cfRule>
  </conditionalFormatting>
  <conditionalFormatting sqref="X71">
    <cfRule type="containsText" dxfId="12" priority="13" operator="containsText" text="Да">
      <formula>NOT(ISERROR(SEARCH("Да",X71)))</formula>
    </cfRule>
  </conditionalFormatting>
  <conditionalFormatting sqref="V78:V79 X79">
    <cfRule type="containsText" dxfId="11" priority="12" operator="containsText" text="Да">
      <formula>NOT(ISERROR(SEARCH("Да",V78)))</formula>
    </cfRule>
  </conditionalFormatting>
  <conditionalFormatting sqref="X78">
    <cfRule type="containsText" dxfId="10" priority="11" operator="containsText" text="Да">
      <formula>NOT(ISERROR(SEARCH("Да",X78)))</formula>
    </cfRule>
  </conditionalFormatting>
  <conditionalFormatting sqref="V85:V86 X86">
    <cfRule type="containsText" dxfId="9" priority="10" operator="containsText" text="Да">
      <formula>NOT(ISERROR(SEARCH("Да",V85)))</formula>
    </cfRule>
  </conditionalFormatting>
  <conditionalFormatting sqref="X85">
    <cfRule type="containsText" dxfId="8" priority="9" operator="containsText" text="Да">
      <formula>NOT(ISERROR(SEARCH("Да",X85)))</formula>
    </cfRule>
  </conditionalFormatting>
  <conditionalFormatting sqref="V92:V93 X93">
    <cfRule type="containsText" dxfId="7" priority="8" operator="containsText" text="Да">
      <formula>NOT(ISERROR(SEARCH("Да",V92)))</formula>
    </cfRule>
  </conditionalFormatting>
  <conditionalFormatting sqref="X92">
    <cfRule type="containsText" dxfId="6" priority="7" operator="containsText" text="Да">
      <formula>NOT(ISERROR(SEARCH("Да",X92)))</formula>
    </cfRule>
  </conditionalFormatting>
  <conditionalFormatting sqref="V99:V100 X100">
    <cfRule type="containsText" dxfId="5" priority="6" operator="containsText" text="Да">
      <formula>NOT(ISERROR(SEARCH("Да",V99)))</formula>
    </cfRule>
  </conditionalFormatting>
  <conditionalFormatting sqref="X99">
    <cfRule type="containsText" dxfId="4" priority="5" operator="containsText" text="Да">
      <formula>NOT(ISERROR(SEARCH("Да",X99)))</formula>
    </cfRule>
  </conditionalFormatting>
  <conditionalFormatting sqref="V106:V107 X107">
    <cfRule type="containsText" dxfId="3" priority="4" operator="containsText" text="Да">
      <formula>NOT(ISERROR(SEARCH("Да",V106)))</formula>
    </cfRule>
  </conditionalFormatting>
  <conditionalFormatting sqref="X106">
    <cfRule type="containsText" dxfId="2" priority="3" operator="containsText" text="Да">
      <formula>NOT(ISERROR(SEARCH("Да",X106)))</formula>
    </cfRule>
  </conditionalFormatting>
  <conditionalFormatting sqref="V113:V114 X114">
    <cfRule type="containsText" dxfId="1" priority="2" operator="containsText" text="Да">
      <formula>NOT(ISERROR(SEARCH("Да",V113)))</formula>
    </cfRule>
  </conditionalFormatting>
  <conditionalFormatting sqref="X113">
    <cfRule type="containsText" dxfId="0" priority="1" operator="containsText" text="Да">
      <formula>NOT(ISERROR(SEARCH("Да",X113)))</formula>
    </cfRule>
  </conditionalFormatting>
  <pageMargins left="0.7" right="0.7" top="0.75" bottom="0.75" header="0.3" footer="0.3"/>
  <pageSetup orientation="portrait" horizontalDpi="4294967293" verticalDpi="120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L14"/>
  <sheetViews>
    <sheetView zoomScale="190" zoomScaleNormal="190" zoomScalePageLayoutView="190" workbookViewId="0">
      <selection activeCell="C10" sqref="C10"/>
    </sheetView>
  </sheetViews>
  <sheetFormatPr defaultColWidth="8.875" defaultRowHeight="15" x14ac:dyDescent="0.25"/>
  <cols>
    <col min="2" max="2" width="10.75" bestFit="1" customWidth="1"/>
    <col min="3" max="3" width="22.25" bestFit="1" customWidth="1"/>
  </cols>
  <sheetData>
    <row r="1" spans="2:12" ht="15.75" thickBot="1" x14ac:dyDescent="0.3"/>
    <row r="2" spans="2:12" ht="15.75" thickBot="1" x14ac:dyDescent="0.3">
      <c r="D2" t="s">
        <v>697</v>
      </c>
      <c r="J2" s="410">
        <f>numberto22(H7+L7)</f>
        <v>12</v>
      </c>
    </row>
    <row r="3" spans="2:12" ht="15.75" thickBot="1" x14ac:dyDescent="0.3">
      <c r="B3" t="s">
        <v>732</v>
      </c>
      <c r="C3" s="580" t="s">
        <v>733</v>
      </c>
      <c r="D3">
        <f>numberto22(ConvertLettersToNumber(C3,Alphabet))</f>
        <v>10</v>
      </c>
    </row>
    <row r="4" spans="2:12" ht="15.75" thickBot="1" x14ac:dyDescent="0.3">
      <c r="I4" s="410">
        <f>numberto22(J2+H7)</f>
        <v>14</v>
      </c>
      <c r="K4" s="410">
        <f>numberto22(J2+L7)</f>
        <v>22</v>
      </c>
    </row>
    <row r="5" spans="2:12" ht="15.75" thickBot="1" x14ac:dyDescent="0.3">
      <c r="B5" t="s">
        <v>734</v>
      </c>
      <c r="C5" s="580" t="s">
        <v>735</v>
      </c>
      <c r="D5">
        <f>numberto22(ConvertLettersToNumber(C5,Alphabet))</f>
        <v>2</v>
      </c>
    </row>
    <row r="6" spans="2:12" ht="15.75" thickBot="1" x14ac:dyDescent="0.3">
      <c r="J6" s="410">
        <f>ABS(numberto22(I4+K4))</f>
        <v>14</v>
      </c>
    </row>
    <row r="7" spans="2:12" ht="15.75" thickBot="1" x14ac:dyDescent="0.3">
      <c r="H7" s="410">
        <f>D5</f>
        <v>2</v>
      </c>
      <c r="L7" s="410">
        <f>D3</f>
        <v>10</v>
      </c>
    </row>
    <row r="8" spans="2:12" ht="15.75" thickBot="1" x14ac:dyDescent="0.3">
      <c r="J8" s="410">
        <f>ABS(numberto22(I4-K4))</f>
        <v>8</v>
      </c>
    </row>
    <row r="10" spans="2:12" x14ac:dyDescent="0.25">
      <c r="B10" t="s">
        <v>731</v>
      </c>
      <c r="C10" s="580" t="s">
        <v>339</v>
      </c>
      <c r="D10">
        <f>numberto22(ConvertLettersToNumber(C10,Alphabet))</f>
        <v>7</v>
      </c>
    </row>
    <row r="12" spans="2:12" x14ac:dyDescent="0.25">
      <c r="B12" t="s">
        <v>736</v>
      </c>
      <c r="C12" s="580" t="s">
        <v>730</v>
      </c>
      <c r="D12">
        <f>numberto22(ConvertLettersToNumber(C12,AlphabetEng))</f>
        <v>11</v>
      </c>
    </row>
    <row r="14" spans="2:12" x14ac:dyDescent="0.25">
      <c r="B14" t="s">
        <v>284</v>
      </c>
      <c r="D14">
        <f>numberto22(D10+D12)</f>
        <v>18</v>
      </c>
    </row>
  </sheetData>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3:C46"/>
  <sheetViews>
    <sheetView zoomScale="200" zoomScaleNormal="200" zoomScalePageLayoutView="200" workbookViewId="0">
      <selection activeCell="C5" sqref="C5"/>
    </sheetView>
  </sheetViews>
  <sheetFormatPr defaultColWidth="8.875" defaultRowHeight="15" x14ac:dyDescent="0.25"/>
  <cols>
    <col min="2" max="2" width="24.125" bestFit="1" customWidth="1"/>
    <col min="3" max="3" width="53.875" customWidth="1"/>
  </cols>
  <sheetData>
    <row r="3" spans="2:3" x14ac:dyDescent="0.25">
      <c r="B3" s="66" t="s">
        <v>327</v>
      </c>
      <c r="C3" t="s">
        <v>329</v>
      </c>
    </row>
    <row r="4" spans="2:3" x14ac:dyDescent="0.25">
      <c r="B4" s="66" t="s">
        <v>328</v>
      </c>
      <c r="C4" t="s">
        <v>331</v>
      </c>
    </row>
    <row r="7" spans="2:3" x14ac:dyDescent="0.25">
      <c r="B7" t="s">
        <v>330</v>
      </c>
      <c r="C7" t="s">
        <v>329</v>
      </c>
    </row>
    <row r="8" spans="2:3" x14ac:dyDescent="0.25">
      <c r="B8" t="s">
        <v>338</v>
      </c>
      <c r="C8" t="s">
        <v>331</v>
      </c>
    </row>
    <row r="10" spans="2:3" x14ac:dyDescent="0.25">
      <c r="B10" t="s">
        <v>332</v>
      </c>
      <c r="C10" t="s">
        <v>333</v>
      </c>
    </row>
    <row r="11" spans="2:3" x14ac:dyDescent="0.25">
      <c r="B11" t="s">
        <v>338</v>
      </c>
      <c r="C11" t="s">
        <v>337</v>
      </c>
    </row>
    <row r="13" spans="2:3" x14ac:dyDescent="0.25">
      <c r="B13" t="s">
        <v>335</v>
      </c>
      <c r="C13" t="s">
        <v>334</v>
      </c>
    </row>
    <row r="14" spans="2:3" x14ac:dyDescent="0.25">
      <c r="B14" t="s">
        <v>338</v>
      </c>
      <c r="C14" t="s">
        <v>336</v>
      </c>
    </row>
    <row r="16" spans="2:3" x14ac:dyDescent="0.25">
      <c r="B16" t="s">
        <v>340</v>
      </c>
      <c r="C16" t="s">
        <v>342</v>
      </c>
    </row>
    <row r="17" spans="2:3" x14ac:dyDescent="0.25">
      <c r="B17" t="s">
        <v>338</v>
      </c>
      <c r="C17" t="s">
        <v>341</v>
      </c>
    </row>
    <row r="19" spans="2:3" x14ac:dyDescent="0.25">
      <c r="B19" t="s">
        <v>344</v>
      </c>
      <c r="C19" t="s">
        <v>343</v>
      </c>
    </row>
    <row r="20" spans="2:3" x14ac:dyDescent="0.25">
      <c r="B20" t="s">
        <v>338</v>
      </c>
      <c r="C20" t="s">
        <v>345</v>
      </c>
    </row>
    <row r="22" spans="2:3" x14ac:dyDescent="0.25">
      <c r="B22" t="s">
        <v>366</v>
      </c>
      <c r="C22" t="s">
        <v>364</v>
      </c>
    </row>
    <row r="23" spans="2:3" x14ac:dyDescent="0.25">
      <c r="B23" t="s">
        <v>338</v>
      </c>
      <c r="C23" t="s">
        <v>365</v>
      </c>
    </row>
    <row r="25" spans="2:3" x14ac:dyDescent="0.25">
      <c r="B25" t="s">
        <v>361</v>
      </c>
      <c r="C25" t="s">
        <v>362</v>
      </c>
    </row>
    <row r="26" spans="2:3" x14ac:dyDescent="0.25">
      <c r="B26" t="s">
        <v>338</v>
      </c>
      <c r="C26" t="s">
        <v>363</v>
      </c>
    </row>
    <row r="28" spans="2:3" x14ac:dyDescent="0.25">
      <c r="B28" t="s">
        <v>368</v>
      </c>
      <c r="C28" t="s">
        <v>367</v>
      </c>
    </row>
    <row r="29" spans="2:3" x14ac:dyDescent="0.25">
      <c r="B29" t="s">
        <v>338</v>
      </c>
      <c r="C29" t="s">
        <v>369</v>
      </c>
    </row>
    <row r="31" spans="2:3" x14ac:dyDescent="0.25">
      <c r="B31" t="s">
        <v>495</v>
      </c>
      <c r="C31" t="s">
        <v>496</v>
      </c>
    </row>
    <row r="32" spans="2:3" x14ac:dyDescent="0.25">
      <c r="B32" t="s">
        <v>338</v>
      </c>
      <c r="C32" t="s">
        <v>497</v>
      </c>
    </row>
    <row r="34" spans="2:3" x14ac:dyDescent="0.25">
      <c r="B34" t="s">
        <v>687</v>
      </c>
      <c r="C34" t="s">
        <v>688</v>
      </c>
    </row>
    <row r="35" spans="2:3" x14ac:dyDescent="0.25">
      <c r="B35" t="s">
        <v>338</v>
      </c>
      <c r="C35" t="s">
        <v>689</v>
      </c>
    </row>
    <row r="37" spans="2:3" x14ac:dyDescent="0.25">
      <c r="B37" t="s">
        <v>690</v>
      </c>
      <c r="C37" t="s">
        <v>691</v>
      </c>
    </row>
    <row r="38" spans="2:3" x14ac:dyDescent="0.25">
      <c r="B38" t="s">
        <v>338</v>
      </c>
      <c r="C38" t="s">
        <v>692</v>
      </c>
    </row>
    <row r="40" spans="2:3" x14ac:dyDescent="0.25">
      <c r="B40" t="s">
        <v>738</v>
      </c>
      <c r="C40" t="s">
        <v>739</v>
      </c>
    </row>
    <row r="41" spans="2:3" x14ac:dyDescent="0.25">
      <c r="B41" t="s">
        <v>338</v>
      </c>
      <c r="C41" t="s">
        <v>740</v>
      </c>
    </row>
    <row r="43" spans="2:3" x14ac:dyDescent="0.25">
      <c r="B43" t="s">
        <v>745</v>
      </c>
      <c r="C43" t="s">
        <v>746</v>
      </c>
    </row>
    <row r="44" spans="2:3" x14ac:dyDescent="0.25">
      <c r="B44" t="s">
        <v>338</v>
      </c>
      <c r="C44" t="s">
        <v>747</v>
      </c>
    </row>
    <row r="46" spans="2:3" ht="60" x14ac:dyDescent="0.25">
      <c r="C46" s="548" t="s">
        <v>1061</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32"/>
  <sheetViews>
    <sheetView zoomScale="170" zoomScaleNormal="170" zoomScalePageLayoutView="170" workbookViewId="0">
      <selection sqref="A1:G32"/>
    </sheetView>
  </sheetViews>
  <sheetFormatPr defaultColWidth="8.875" defaultRowHeight="15" x14ac:dyDescent="0.25"/>
  <cols>
    <col min="3" max="3" width="12.375" customWidth="1"/>
    <col min="5" max="5" width="11.125" bestFit="1" customWidth="1"/>
    <col min="6" max="6" width="18.125" bestFit="1" customWidth="1"/>
    <col min="7" max="7" width="22.375" bestFit="1" customWidth="1"/>
  </cols>
  <sheetData>
    <row r="1" spans="1:7" x14ac:dyDescent="0.25">
      <c r="A1" t="s">
        <v>263</v>
      </c>
      <c r="B1" t="s">
        <v>264</v>
      </c>
      <c r="C1" t="s">
        <v>265</v>
      </c>
      <c r="D1" t="s">
        <v>266</v>
      </c>
      <c r="E1" t="s">
        <v>267</v>
      </c>
      <c r="F1" t="s">
        <v>612</v>
      </c>
      <c r="G1" t="s">
        <v>613</v>
      </c>
    </row>
    <row r="2" spans="1:7" x14ac:dyDescent="0.25">
      <c r="A2" s="24">
        <v>1</v>
      </c>
      <c r="B2" s="168">
        <v>1</v>
      </c>
      <c r="C2" t="s">
        <v>268</v>
      </c>
      <c r="D2" t="s">
        <v>269</v>
      </c>
      <c r="F2" s="247">
        <v>1</v>
      </c>
    </row>
    <row r="3" spans="1:7" x14ac:dyDescent="0.25">
      <c r="A3" s="24">
        <v>2</v>
      </c>
      <c r="B3" s="168">
        <v>1</v>
      </c>
      <c r="C3" t="s">
        <v>270</v>
      </c>
      <c r="D3" t="s">
        <v>269</v>
      </c>
      <c r="F3" s="247">
        <v>1</v>
      </c>
    </row>
    <row r="4" spans="1:7" x14ac:dyDescent="0.25">
      <c r="A4" s="24">
        <v>3</v>
      </c>
      <c r="B4" s="168">
        <v>1</v>
      </c>
      <c r="C4" t="s">
        <v>210</v>
      </c>
      <c r="D4" t="s">
        <v>269</v>
      </c>
      <c r="F4" s="247">
        <v>1</v>
      </c>
    </row>
    <row r="5" spans="1:7" x14ac:dyDescent="0.25">
      <c r="A5" s="24">
        <v>4</v>
      </c>
      <c r="B5" s="168">
        <v>1</v>
      </c>
      <c r="C5" t="s">
        <v>212</v>
      </c>
      <c r="D5" t="s">
        <v>269</v>
      </c>
      <c r="F5" s="247">
        <v>1</v>
      </c>
    </row>
    <row r="6" spans="1:7" x14ac:dyDescent="0.25">
      <c r="A6" s="24">
        <v>5</v>
      </c>
      <c r="B6" s="168">
        <v>1</v>
      </c>
      <c r="C6" t="s">
        <v>207</v>
      </c>
      <c r="D6" t="s">
        <v>269</v>
      </c>
      <c r="F6" s="247">
        <v>1</v>
      </c>
    </row>
    <row r="7" spans="1:7" x14ac:dyDescent="0.25">
      <c r="A7" s="24">
        <v>6</v>
      </c>
      <c r="B7" s="168">
        <v>1</v>
      </c>
      <c r="C7" t="s">
        <v>208</v>
      </c>
      <c r="D7" t="s">
        <v>269</v>
      </c>
      <c r="F7" s="247">
        <v>1</v>
      </c>
    </row>
    <row r="8" spans="1:7" x14ac:dyDescent="0.25">
      <c r="A8" s="24">
        <v>7</v>
      </c>
      <c r="B8" s="168">
        <v>1</v>
      </c>
      <c r="C8" t="s">
        <v>213</v>
      </c>
      <c r="D8" t="s">
        <v>269</v>
      </c>
      <c r="F8" s="247">
        <v>1</v>
      </c>
    </row>
    <row r="9" spans="1:7" x14ac:dyDescent="0.25">
      <c r="A9" s="24">
        <v>8</v>
      </c>
      <c r="B9" s="168">
        <v>1</v>
      </c>
      <c r="C9" t="s">
        <v>211</v>
      </c>
      <c r="D9" t="s">
        <v>269</v>
      </c>
      <c r="F9" s="247">
        <v>1</v>
      </c>
    </row>
    <row r="10" spans="1:7" x14ac:dyDescent="0.25">
      <c r="A10" s="24">
        <v>9</v>
      </c>
      <c r="B10" s="168">
        <v>1</v>
      </c>
      <c r="C10" t="s">
        <v>209</v>
      </c>
      <c r="D10" t="s">
        <v>269</v>
      </c>
      <c r="F10" s="247">
        <v>1</v>
      </c>
    </row>
    <row r="11" spans="1:7" x14ac:dyDescent="0.25">
      <c r="A11" s="24">
        <v>10</v>
      </c>
      <c r="B11" s="168">
        <v>0.8</v>
      </c>
      <c r="C11" t="s">
        <v>268</v>
      </c>
      <c r="D11" t="s">
        <v>269</v>
      </c>
      <c r="F11" s="247">
        <v>1</v>
      </c>
    </row>
    <row r="12" spans="1:7" x14ac:dyDescent="0.25">
      <c r="A12" s="24">
        <v>11</v>
      </c>
      <c r="B12" s="168">
        <v>0.8</v>
      </c>
      <c r="C12" t="s">
        <v>270</v>
      </c>
      <c r="D12" t="s">
        <v>269</v>
      </c>
      <c r="F12" s="247">
        <v>1</v>
      </c>
    </row>
    <row r="13" spans="1:7" x14ac:dyDescent="0.25">
      <c r="A13" s="24">
        <v>12</v>
      </c>
      <c r="B13" s="168">
        <v>0.8</v>
      </c>
      <c r="C13" t="s">
        <v>210</v>
      </c>
      <c r="D13" t="s">
        <v>269</v>
      </c>
      <c r="F13" s="247">
        <v>1</v>
      </c>
    </row>
    <row r="14" spans="1:7" x14ac:dyDescent="0.25">
      <c r="A14" s="24">
        <v>13</v>
      </c>
      <c r="B14" s="168">
        <v>0.8</v>
      </c>
      <c r="C14" t="s">
        <v>212</v>
      </c>
      <c r="D14" t="s">
        <v>269</v>
      </c>
      <c r="F14" s="247">
        <v>1</v>
      </c>
    </row>
    <row r="15" spans="1:7" x14ac:dyDescent="0.25">
      <c r="A15" s="24">
        <v>14</v>
      </c>
      <c r="B15" s="168">
        <v>0.6</v>
      </c>
      <c r="C15" t="s">
        <v>207</v>
      </c>
      <c r="D15" t="s">
        <v>269</v>
      </c>
      <c r="F15" s="247">
        <v>1</v>
      </c>
    </row>
    <row r="16" spans="1:7" x14ac:dyDescent="0.25">
      <c r="A16" s="24">
        <v>15</v>
      </c>
      <c r="B16" s="168">
        <v>0.6</v>
      </c>
      <c r="C16" t="s">
        <v>208</v>
      </c>
      <c r="D16" t="s">
        <v>269</v>
      </c>
      <c r="F16" s="247">
        <v>1</v>
      </c>
    </row>
    <row r="17" spans="1:7" x14ac:dyDescent="0.25">
      <c r="A17" s="24">
        <v>16</v>
      </c>
      <c r="B17" s="168">
        <v>0.6</v>
      </c>
      <c r="C17" t="s">
        <v>213</v>
      </c>
      <c r="D17" t="s">
        <v>269</v>
      </c>
      <c r="F17" s="247">
        <v>1</v>
      </c>
    </row>
    <row r="18" spans="1:7" x14ac:dyDescent="0.25">
      <c r="A18" s="24">
        <v>17</v>
      </c>
      <c r="B18" s="168">
        <v>0.6</v>
      </c>
      <c r="C18" t="s">
        <v>211</v>
      </c>
      <c r="D18" t="s">
        <v>269</v>
      </c>
      <c r="F18" s="247">
        <v>1</v>
      </c>
    </row>
    <row r="19" spans="1:7" x14ac:dyDescent="0.25">
      <c r="A19" s="24">
        <v>18</v>
      </c>
      <c r="B19" s="168">
        <v>0.6</v>
      </c>
      <c r="C19" t="s">
        <v>209</v>
      </c>
      <c r="D19" t="s">
        <v>269</v>
      </c>
      <c r="F19" s="247">
        <v>1</v>
      </c>
    </row>
    <row r="20" spans="1:7" x14ac:dyDescent="0.25">
      <c r="A20" s="24">
        <v>19</v>
      </c>
      <c r="B20" s="168">
        <v>0.6</v>
      </c>
      <c r="C20" t="s">
        <v>268</v>
      </c>
      <c r="D20" t="s">
        <v>269</v>
      </c>
      <c r="F20" s="247">
        <v>1</v>
      </c>
    </row>
    <row r="21" spans="1:7" x14ac:dyDescent="0.25">
      <c r="A21" s="24">
        <v>20</v>
      </c>
      <c r="B21" s="168">
        <v>0.6</v>
      </c>
      <c r="C21" t="s">
        <v>270</v>
      </c>
      <c r="D21" t="s">
        <v>269</v>
      </c>
      <c r="F21" s="247">
        <v>1</v>
      </c>
    </row>
    <row r="22" spans="1:7" x14ac:dyDescent="0.25">
      <c r="A22" s="24">
        <v>21</v>
      </c>
      <c r="B22" s="168">
        <v>0.6</v>
      </c>
      <c r="C22" t="s">
        <v>210</v>
      </c>
      <c r="D22" t="s">
        <v>269</v>
      </c>
      <c r="F22" s="247">
        <v>1</v>
      </c>
    </row>
    <row r="23" spans="1:7" x14ac:dyDescent="0.25">
      <c r="A23" s="24">
        <v>22</v>
      </c>
      <c r="B23" s="168">
        <v>0.6</v>
      </c>
      <c r="C23" t="s">
        <v>212</v>
      </c>
      <c r="D23" t="s">
        <v>269</v>
      </c>
      <c r="F23" s="247">
        <v>1</v>
      </c>
    </row>
    <row r="24" spans="1:7" x14ac:dyDescent="0.25">
      <c r="A24" s="24">
        <v>23</v>
      </c>
      <c r="B24" s="168">
        <v>0.4</v>
      </c>
      <c r="C24" t="s">
        <v>268</v>
      </c>
      <c r="D24" t="s">
        <v>207</v>
      </c>
      <c r="E24" s="24">
        <f>SumNumbers(A24)</f>
        <v>5</v>
      </c>
      <c r="F24" s="247">
        <v>0.6</v>
      </c>
      <c r="G24" s="247">
        <v>0.4</v>
      </c>
    </row>
    <row r="25" spans="1:7" x14ac:dyDescent="0.25">
      <c r="A25" s="24">
        <v>24</v>
      </c>
      <c r="B25" s="168">
        <v>0.4</v>
      </c>
      <c r="C25" t="s">
        <v>270</v>
      </c>
      <c r="D25" t="s">
        <v>208</v>
      </c>
      <c r="E25" s="24">
        <f t="shared" ref="E25:E32" si="0">SumNumbers(A25)</f>
        <v>6</v>
      </c>
      <c r="F25" s="247">
        <v>0.6</v>
      </c>
      <c r="G25" s="247">
        <v>0.4</v>
      </c>
    </row>
    <row r="26" spans="1:7" x14ac:dyDescent="0.25">
      <c r="A26" s="24">
        <v>25</v>
      </c>
      <c r="B26" s="168">
        <v>0.4</v>
      </c>
      <c r="C26" t="s">
        <v>210</v>
      </c>
      <c r="D26" t="s">
        <v>213</v>
      </c>
      <c r="E26" s="24">
        <f t="shared" si="0"/>
        <v>7</v>
      </c>
      <c r="F26" s="247">
        <v>0.6</v>
      </c>
      <c r="G26" s="247">
        <v>0.4</v>
      </c>
    </row>
    <row r="27" spans="1:7" x14ac:dyDescent="0.25">
      <c r="A27" s="24">
        <v>26</v>
      </c>
      <c r="B27" s="168">
        <v>0.4</v>
      </c>
      <c r="C27" t="s">
        <v>212</v>
      </c>
      <c r="D27" t="s">
        <v>211</v>
      </c>
      <c r="E27" s="24">
        <f t="shared" si="0"/>
        <v>8</v>
      </c>
      <c r="F27" s="247">
        <v>0.6</v>
      </c>
      <c r="G27" s="247">
        <v>0.4</v>
      </c>
    </row>
    <row r="28" spans="1:7" x14ac:dyDescent="0.25">
      <c r="A28" s="24">
        <v>27</v>
      </c>
      <c r="B28" s="168">
        <v>0.4</v>
      </c>
      <c r="C28" t="s">
        <v>207</v>
      </c>
      <c r="D28" t="s">
        <v>209</v>
      </c>
      <c r="E28" s="24">
        <f t="shared" si="0"/>
        <v>9</v>
      </c>
      <c r="F28" s="247">
        <v>0.6</v>
      </c>
      <c r="G28" s="247">
        <v>0.4</v>
      </c>
    </row>
    <row r="29" spans="1:7" x14ac:dyDescent="0.25">
      <c r="A29" s="24">
        <v>28</v>
      </c>
      <c r="B29" s="168">
        <v>0.4</v>
      </c>
      <c r="C29" t="s">
        <v>208</v>
      </c>
      <c r="D29" t="s">
        <v>268</v>
      </c>
      <c r="E29" s="24">
        <f t="shared" si="0"/>
        <v>10</v>
      </c>
      <c r="F29" s="247">
        <v>0.6</v>
      </c>
      <c r="G29" s="247">
        <v>0.4</v>
      </c>
    </row>
    <row r="30" spans="1:7" x14ac:dyDescent="0.25">
      <c r="A30" s="24">
        <v>29</v>
      </c>
      <c r="B30" s="168">
        <v>0.4</v>
      </c>
      <c r="C30" t="s">
        <v>213</v>
      </c>
      <c r="D30" t="s">
        <v>270</v>
      </c>
      <c r="E30" s="24">
        <f t="shared" si="0"/>
        <v>11</v>
      </c>
      <c r="F30" s="247">
        <v>0.6</v>
      </c>
      <c r="G30" s="247">
        <v>0.4</v>
      </c>
    </row>
    <row r="31" spans="1:7" x14ac:dyDescent="0.25">
      <c r="A31" s="24">
        <v>30</v>
      </c>
      <c r="B31" s="168">
        <v>0.4</v>
      </c>
      <c r="C31" t="s">
        <v>211</v>
      </c>
      <c r="D31" t="s">
        <v>210</v>
      </c>
      <c r="E31" s="24">
        <f t="shared" si="0"/>
        <v>3</v>
      </c>
      <c r="F31" s="247">
        <v>0.6</v>
      </c>
      <c r="G31" s="247">
        <v>0.4</v>
      </c>
    </row>
    <row r="32" spans="1:7" x14ac:dyDescent="0.25">
      <c r="A32" s="24">
        <v>31</v>
      </c>
      <c r="B32" s="168">
        <v>0.4</v>
      </c>
      <c r="C32" t="s">
        <v>209</v>
      </c>
      <c r="D32" t="s">
        <v>212</v>
      </c>
      <c r="E32" s="24">
        <f t="shared" si="0"/>
        <v>4</v>
      </c>
      <c r="F32" s="247">
        <v>0.6</v>
      </c>
      <c r="G32" s="247">
        <v>0.4</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23"/>
  <sheetViews>
    <sheetView workbookViewId="0">
      <selection activeCell="L47" sqref="L47"/>
    </sheetView>
  </sheetViews>
  <sheetFormatPr defaultColWidth="8.875" defaultRowHeight="15" x14ac:dyDescent="0.25"/>
  <sheetData>
    <row r="1" spans="1:2" x14ac:dyDescent="0.25">
      <c r="A1" t="s">
        <v>218</v>
      </c>
      <c r="B1" t="s">
        <v>534</v>
      </c>
    </row>
    <row r="2" spans="1:2" x14ac:dyDescent="0.25">
      <c r="A2" s="82">
        <v>1</v>
      </c>
      <c r="B2" t="s">
        <v>535</v>
      </c>
    </row>
    <row r="3" spans="1:2" x14ac:dyDescent="0.25">
      <c r="A3" s="82">
        <v>2</v>
      </c>
      <c r="B3" t="s">
        <v>536</v>
      </c>
    </row>
    <row r="4" spans="1:2" x14ac:dyDescent="0.25">
      <c r="A4" s="82">
        <v>3</v>
      </c>
      <c r="B4" t="s">
        <v>537</v>
      </c>
    </row>
    <row r="5" spans="1:2" x14ac:dyDescent="0.25">
      <c r="A5" s="82">
        <v>4</v>
      </c>
      <c r="B5" t="s">
        <v>538</v>
      </c>
    </row>
    <row r="6" spans="1:2" x14ac:dyDescent="0.25">
      <c r="A6" s="82">
        <v>5</v>
      </c>
      <c r="B6" t="s">
        <v>539</v>
      </c>
    </row>
    <row r="7" spans="1:2" x14ac:dyDescent="0.25">
      <c r="A7" s="82">
        <v>6</v>
      </c>
      <c r="B7" t="s">
        <v>540</v>
      </c>
    </row>
    <row r="8" spans="1:2" x14ac:dyDescent="0.25">
      <c r="A8" s="82">
        <v>7</v>
      </c>
      <c r="B8" t="s">
        <v>541</v>
      </c>
    </row>
    <row r="9" spans="1:2" x14ac:dyDescent="0.25">
      <c r="A9" s="82">
        <v>8</v>
      </c>
      <c r="B9" t="s">
        <v>542</v>
      </c>
    </row>
    <row r="10" spans="1:2" x14ac:dyDescent="0.25">
      <c r="A10" s="82">
        <v>9</v>
      </c>
      <c r="B10" t="s">
        <v>543</v>
      </c>
    </row>
    <row r="11" spans="1:2" x14ac:dyDescent="0.25">
      <c r="A11" s="82">
        <v>10</v>
      </c>
      <c r="B11" t="s">
        <v>544</v>
      </c>
    </row>
    <row r="12" spans="1:2" x14ac:dyDescent="0.25">
      <c r="A12" s="82">
        <v>11</v>
      </c>
      <c r="B12" t="s">
        <v>545</v>
      </c>
    </row>
    <row r="13" spans="1:2" x14ac:dyDescent="0.25">
      <c r="A13" s="82">
        <v>12</v>
      </c>
      <c r="B13" t="s">
        <v>546</v>
      </c>
    </row>
    <row r="14" spans="1:2" x14ac:dyDescent="0.25">
      <c r="A14" s="82">
        <v>13</v>
      </c>
      <c r="B14" t="s">
        <v>547</v>
      </c>
    </row>
    <row r="15" spans="1:2" x14ac:dyDescent="0.25">
      <c r="A15" s="82">
        <v>14</v>
      </c>
      <c r="B15" t="s">
        <v>548</v>
      </c>
    </row>
    <row r="16" spans="1:2" x14ac:dyDescent="0.25">
      <c r="A16" s="82">
        <v>15</v>
      </c>
      <c r="B16" t="s">
        <v>549</v>
      </c>
    </row>
    <row r="17" spans="1:2" x14ac:dyDescent="0.25">
      <c r="A17" s="82">
        <v>16</v>
      </c>
      <c r="B17" t="s">
        <v>550</v>
      </c>
    </row>
    <row r="18" spans="1:2" x14ac:dyDescent="0.25">
      <c r="A18" s="82">
        <v>17</v>
      </c>
      <c r="B18" t="s">
        <v>551</v>
      </c>
    </row>
    <row r="19" spans="1:2" x14ac:dyDescent="0.25">
      <c r="A19" s="82">
        <v>18</v>
      </c>
      <c r="B19" t="s">
        <v>552</v>
      </c>
    </row>
    <row r="20" spans="1:2" x14ac:dyDescent="0.25">
      <c r="A20" s="82">
        <v>19</v>
      </c>
      <c r="B20" t="s">
        <v>553</v>
      </c>
    </row>
    <row r="21" spans="1:2" x14ac:dyDescent="0.25">
      <c r="A21" s="82">
        <v>20</v>
      </c>
      <c r="B21" t="s">
        <v>554</v>
      </c>
    </row>
    <row r="22" spans="1:2" x14ac:dyDescent="0.25">
      <c r="A22" s="82">
        <v>21</v>
      </c>
      <c r="B22" t="s">
        <v>555</v>
      </c>
    </row>
    <row r="23" spans="1:2" x14ac:dyDescent="0.25">
      <c r="A23" s="82">
        <v>22</v>
      </c>
      <c r="B23" t="s">
        <v>556</v>
      </c>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54"/>
  <sheetViews>
    <sheetView workbookViewId="0">
      <selection activeCell="N55" sqref="N55"/>
    </sheetView>
  </sheetViews>
  <sheetFormatPr defaultColWidth="8.875" defaultRowHeight="15" x14ac:dyDescent="0.25"/>
  <cols>
    <col min="2" max="2" width="9.125" customWidth="1"/>
  </cols>
  <sheetData>
    <row r="1" spans="1:2" x14ac:dyDescent="0.25">
      <c r="A1" t="s">
        <v>244</v>
      </c>
      <c r="B1" t="s">
        <v>263</v>
      </c>
    </row>
    <row r="2" spans="1:2" x14ac:dyDescent="0.25">
      <c r="A2">
        <v>1</v>
      </c>
      <c r="B2" t="s">
        <v>560</v>
      </c>
    </row>
    <row r="3" spans="1:2" x14ac:dyDescent="0.25">
      <c r="A3">
        <v>2</v>
      </c>
      <c r="B3" t="s">
        <v>561</v>
      </c>
    </row>
    <row r="4" spans="1:2" x14ac:dyDescent="0.25">
      <c r="A4">
        <v>3</v>
      </c>
      <c r="B4" t="s">
        <v>562</v>
      </c>
    </row>
    <row r="5" spans="1:2" x14ac:dyDescent="0.25">
      <c r="A5">
        <v>4</v>
      </c>
      <c r="B5" t="s">
        <v>563</v>
      </c>
    </row>
    <row r="6" spans="1:2" x14ac:dyDescent="0.25">
      <c r="A6">
        <v>5</v>
      </c>
      <c r="B6" t="s">
        <v>564</v>
      </c>
    </row>
    <row r="7" spans="1:2" x14ac:dyDescent="0.25">
      <c r="A7">
        <v>6</v>
      </c>
      <c r="B7" t="s">
        <v>565</v>
      </c>
    </row>
    <row r="8" spans="1:2" x14ac:dyDescent="0.25">
      <c r="A8">
        <v>7</v>
      </c>
      <c r="B8" t="s">
        <v>566</v>
      </c>
    </row>
    <row r="9" spans="1:2" x14ac:dyDescent="0.25">
      <c r="A9">
        <v>8</v>
      </c>
      <c r="B9" t="s">
        <v>567</v>
      </c>
    </row>
    <row r="10" spans="1:2" x14ac:dyDescent="0.25">
      <c r="A10">
        <v>9</v>
      </c>
      <c r="B10" t="s">
        <v>568</v>
      </c>
    </row>
    <row r="11" spans="1:2" x14ac:dyDescent="0.25">
      <c r="A11">
        <v>10</v>
      </c>
      <c r="B11" t="s">
        <v>569</v>
      </c>
    </row>
    <row r="12" spans="1:2" x14ac:dyDescent="0.25">
      <c r="A12">
        <v>11</v>
      </c>
      <c r="B12" t="s">
        <v>570</v>
      </c>
    </row>
    <row r="13" spans="1:2" x14ac:dyDescent="0.25">
      <c r="A13">
        <v>12</v>
      </c>
      <c r="B13" t="s">
        <v>571</v>
      </c>
    </row>
    <row r="14" spans="1:2" x14ac:dyDescent="0.25">
      <c r="A14">
        <v>13</v>
      </c>
      <c r="B14" t="s">
        <v>572</v>
      </c>
    </row>
    <row r="15" spans="1:2" x14ac:dyDescent="0.25">
      <c r="A15">
        <v>14</v>
      </c>
      <c r="B15" t="s">
        <v>573</v>
      </c>
    </row>
    <row r="16" spans="1:2" x14ac:dyDescent="0.25">
      <c r="A16">
        <v>15</v>
      </c>
      <c r="B16" t="s">
        <v>574</v>
      </c>
    </row>
    <row r="17" spans="1:2" x14ac:dyDescent="0.25">
      <c r="A17">
        <v>16</v>
      </c>
      <c r="B17" t="s">
        <v>575</v>
      </c>
    </row>
    <row r="18" spans="1:2" x14ac:dyDescent="0.25">
      <c r="A18">
        <v>17</v>
      </c>
      <c r="B18" t="s">
        <v>576</v>
      </c>
    </row>
    <row r="19" spans="1:2" x14ac:dyDescent="0.25">
      <c r="A19">
        <v>18</v>
      </c>
      <c r="B19" t="s">
        <v>577</v>
      </c>
    </row>
    <row r="20" spans="1:2" x14ac:dyDescent="0.25">
      <c r="A20">
        <v>19</v>
      </c>
      <c r="B20" t="s">
        <v>578</v>
      </c>
    </row>
    <row r="21" spans="1:2" x14ac:dyDescent="0.25">
      <c r="A21">
        <v>20</v>
      </c>
      <c r="B21" t="s">
        <v>579</v>
      </c>
    </row>
    <row r="22" spans="1:2" x14ac:dyDescent="0.25">
      <c r="A22">
        <v>21</v>
      </c>
      <c r="B22" t="s">
        <v>580</v>
      </c>
    </row>
    <row r="23" spans="1:2" x14ac:dyDescent="0.25">
      <c r="A23">
        <v>22</v>
      </c>
      <c r="B23" t="s">
        <v>581</v>
      </c>
    </row>
    <row r="24" spans="1:2" x14ac:dyDescent="0.25">
      <c r="A24">
        <v>23</v>
      </c>
      <c r="B24" t="s">
        <v>582</v>
      </c>
    </row>
    <row r="25" spans="1:2" x14ac:dyDescent="0.25">
      <c r="A25">
        <v>24</v>
      </c>
      <c r="B25" t="s">
        <v>583</v>
      </c>
    </row>
    <row r="26" spans="1:2" x14ac:dyDescent="0.25">
      <c r="A26">
        <v>25</v>
      </c>
      <c r="B26" t="s">
        <v>584</v>
      </c>
    </row>
    <row r="27" spans="1:2" x14ac:dyDescent="0.25">
      <c r="A27">
        <v>26</v>
      </c>
      <c r="B27" t="s">
        <v>585</v>
      </c>
    </row>
    <row r="28" spans="1:2" x14ac:dyDescent="0.25">
      <c r="A28">
        <v>27</v>
      </c>
      <c r="B28" t="s">
        <v>586</v>
      </c>
    </row>
    <row r="29" spans="1:2" x14ac:dyDescent="0.25">
      <c r="A29">
        <v>28</v>
      </c>
      <c r="B29" t="s">
        <v>587</v>
      </c>
    </row>
    <row r="30" spans="1:2" x14ac:dyDescent="0.25">
      <c r="A30">
        <v>29</v>
      </c>
      <c r="B30" t="s">
        <v>588</v>
      </c>
    </row>
    <row r="31" spans="1:2" x14ac:dyDescent="0.25">
      <c r="A31">
        <v>30</v>
      </c>
      <c r="B31" t="s">
        <v>589</v>
      </c>
    </row>
    <row r="32" spans="1:2" x14ac:dyDescent="0.25">
      <c r="A32">
        <v>31</v>
      </c>
      <c r="B32" t="s">
        <v>590</v>
      </c>
    </row>
    <row r="33" spans="1:2" x14ac:dyDescent="0.25">
      <c r="A33">
        <v>32</v>
      </c>
      <c r="B33" t="s">
        <v>591</v>
      </c>
    </row>
    <row r="34" spans="1:2" x14ac:dyDescent="0.25">
      <c r="A34">
        <v>33</v>
      </c>
      <c r="B34" t="s">
        <v>592</v>
      </c>
    </row>
    <row r="35" spans="1:2" x14ac:dyDescent="0.25">
      <c r="A35">
        <v>34</v>
      </c>
      <c r="B35" t="s">
        <v>593</v>
      </c>
    </row>
    <row r="36" spans="1:2" x14ac:dyDescent="0.25">
      <c r="A36">
        <v>35</v>
      </c>
      <c r="B36" t="s">
        <v>594</v>
      </c>
    </row>
    <row r="37" spans="1:2" x14ac:dyDescent="0.25">
      <c r="A37">
        <v>36</v>
      </c>
      <c r="B37" t="s">
        <v>595</v>
      </c>
    </row>
    <row r="38" spans="1:2" x14ac:dyDescent="0.25">
      <c r="A38">
        <v>37</v>
      </c>
      <c r="B38" t="s">
        <v>596</v>
      </c>
    </row>
    <row r="39" spans="1:2" x14ac:dyDescent="0.25">
      <c r="A39">
        <v>38</v>
      </c>
      <c r="B39" t="s">
        <v>597</v>
      </c>
    </row>
    <row r="40" spans="1:2" x14ac:dyDescent="0.25">
      <c r="A40">
        <v>39</v>
      </c>
      <c r="B40" t="s">
        <v>598</v>
      </c>
    </row>
    <row r="41" spans="1:2" x14ac:dyDescent="0.25">
      <c r="A41">
        <v>40</v>
      </c>
      <c r="B41" t="s">
        <v>599</v>
      </c>
    </row>
    <row r="42" spans="1:2" x14ac:dyDescent="0.25">
      <c r="A42">
        <v>41</v>
      </c>
      <c r="B42" t="s">
        <v>600</v>
      </c>
    </row>
    <row r="43" spans="1:2" x14ac:dyDescent="0.25">
      <c r="A43">
        <v>42</v>
      </c>
      <c r="B43" t="s">
        <v>601</v>
      </c>
    </row>
    <row r="44" spans="1:2" x14ac:dyDescent="0.25">
      <c r="A44">
        <v>43</v>
      </c>
      <c r="B44" t="s">
        <v>602</v>
      </c>
    </row>
    <row r="45" spans="1:2" x14ac:dyDescent="0.25">
      <c r="A45">
        <v>44</v>
      </c>
      <c r="B45" t="s">
        <v>603</v>
      </c>
    </row>
    <row r="46" spans="1:2" x14ac:dyDescent="0.25">
      <c r="A46">
        <v>45</v>
      </c>
      <c r="B46" t="s">
        <v>604</v>
      </c>
    </row>
    <row r="47" spans="1:2" x14ac:dyDescent="0.25">
      <c r="A47">
        <v>46</v>
      </c>
      <c r="B47" t="s">
        <v>605</v>
      </c>
    </row>
    <row r="48" spans="1:2" x14ac:dyDescent="0.25">
      <c r="A48">
        <v>47</v>
      </c>
      <c r="B48" t="s">
        <v>606</v>
      </c>
    </row>
    <row r="49" spans="1:2" x14ac:dyDescent="0.25">
      <c r="A49">
        <v>48</v>
      </c>
      <c r="B49" t="s">
        <v>607</v>
      </c>
    </row>
    <row r="50" spans="1:2" x14ac:dyDescent="0.25">
      <c r="A50">
        <v>49</v>
      </c>
      <c r="B50" t="s">
        <v>608</v>
      </c>
    </row>
    <row r="51" spans="1:2" x14ac:dyDescent="0.25">
      <c r="A51">
        <v>50</v>
      </c>
      <c r="B51" t="s">
        <v>609</v>
      </c>
    </row>
    <row r="52" spans="1:2" x14ac:dyDescent="0.25">
      <c r="A52">
        <v>51</v>
      </c>
      <c r="B52" t="s">
        <v>610</v>
      </c>
    </row>
    <row r="53" spans="1:2" x14ac:dyDescent="0.25">
      <c r="A53">
        <v>52</v>
      </c>
      <c r="B53" t="s">
        <v>611</v>
      </c>
    </row>
    <row r="54" spans="1:2" x14ac:dyDescent="0.25">
      <c r="A54">
        <v>53</v>
      </c>
      <c r="B54" t="s">
        <v>559</v>
      </c>
    </row>
  </sheetData>
  <pageMargins left="0.7" right="0.7" top="0.75" bottom="0.75" header="0.3" footer="0.3"/>
  <pageSetup orientation="portrait" horizontalDpi="1200" verticalDpi="120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16"/>
  <sheetViews>
    <sheetView workbookViewId="0">
      <selection activeCell="I23" sqref="I23"/>
    </sheetView>
  </sheetViews>
  <sheetFormatPr defaultColWidth="8.875" defaultRowHeight="15" x14ac:dyDescent="0.25"/>
  <cols>
    <col min="7" max="7" width="12.25" bestFit="1" customWidth="1"/>
  </cols>
  <sheetData>
    <row r="1" spans="1:7" x14ac:dyDescent="0.25">
      <c r="A1" t="s">
        <v>12</v>
      </c>
      <c r="B1" t="s">
        <v>778</v>
      </c>
      <c r="C1" t="s">
        <v>779</v>
      </c>
      <c r="F1" t="s">
        <v>630</v>
      </c>
    </row>
    <row r="2" spans="1:7" x14ac:dyDescent="0.25">
      <c r="A2">
        <v>4628</v>
      </c>
      <c r="B2">
        <v>7</v>
      </c>
      <c r="C2">
        <v>8</v>
      </c>
      <c r="F2">
        <v>1</v>
      </c>
      <c r="G2" t="s">
        <v>780</v>
      </c>
    </row>
    <row r="3" spans="1:7" ht="15.75" x14ac:dyDescent="0.25">
      <c r="A3">
        <v>4629</v>
      </c>
      <c r="B3">
        <v>6</v>
      </c>
      <c r="C3">
        <v>9</v>
      </c>
      <c r="F3">
        <v>2</v>
      </c>
      <c r="G3" s="440" t="s">
        <v>781</v>
      </c>
    </row>
    <row r="4" spans="1:7" ht="15.75" x14ac:dyDescent="0.25">
      <c r="A4">
        <v>4630</v>
      </c>
      <c r="B4">
        <v>5</v>
      </c>
      <c r="C4">
        <v>1</v>
      </c>
      <c r="F4">
        <v>3</v>
      </c>
      <c r="G4" s="440" t="s">
        <v>782</v>
      </c>
    </row>
    <row r="5" spans="1:7" ht="15.75" x14ac:dyDescent="0.25">
      <c r="A5">
        <v>4631</v>
      </c>
      <c r="B5">
        <v>4</v>
      </c>
      <c r="C5">
        <v>2</v>
      </c>
      <c r="F5">
        <v>4</v>
      </c>
      <c r="G5" s="440" t="s">
        <v>783</v>
      </c>
    </row>
    <row r="6" spans="1:7" ht="15.75" x14ac:dyDescent="0.25">
      <c r="A6">
        <v>4632</v>
      </c>
      <c r="B6">
        <v>3</v>
      </c>
      <c r="C6">
        <v>3</v>
      </c>
      <c r="F6">
        <v>5</v>
      </c>
      <c r="G6" s="440" t="s">
        <v>784</v>
      </c>
    </row>
    <row r="7" spans="1:7" ht="15.75" x14ac:dyDescent="0.25">
      <c r="A7">
        <v>4633</v>
      </c>
      <c r="B7">
        <v>2</v>
      </c>
      <c r="C7">
        <v>4</v>
      </c>
      <c r="F7">
        <v>6</v>
      </c>
      <c r="G7" s="440" t="s">
        <v>785</v>
      </c>
    </row>
    <row r="8" spans="1:7" ht="15.75" x14ac:dyDescent="0.25">
      <c r="A8">
        <v>4634</v>
      </c>
      <c r="B8">
        <v>1</v>
      </c>
      <c r="C8">
        <v>5</v>
      </c>
      <c r="F8">
        <v>7</v>
      </c>
      <c r="G8" s="440" t="s">
        <v>786</v>
      </c>
    </row>
    <row r="9" spans="1:7" ht="15.75" x14ac:dyDescent="0.25">
      <c r="A9">
        <v>4635</v>
      </c>
      <c r="B9">
        <v>9</v>
      </c>
      <c r="C9">
        <v>6</v>
      </c>
      <c r="F9">
        <v>8</v>
      </c>
      <c r="G9" s="440" t="s">
        <v>787</v>
      </c>
    </row>
    <row r="10" spans="1:7" ht="15.75" x14ac:dyDescent="0.25">
      <c r="A10">
        <v>4636</v>
      </c>
      <c r="B10">
        <v>8</v>
      </c>
      <c r="C10">
        <v>7</v>
      </c>
      <c r="F10">
        <v>9</v>
      </c>
      <c r="G10" s="440" t="s">
        <v>788</v>
      </c>
    </row>
    <row r="11" spans="1:7" x14ac:dyDescent="0.25">
      <c r="A11">
        <v>4637</v>
      </c>
      <c r="B11">
        <v>7</v>
      </c>
      <c r="C11">
        <v>8</v>
      </c>
    </row>
    <row r="12" spans="1:7" x14ac:dyDescent="0.25">
      <c r="A12">
        <v>4638</v>
      </c>
      <c r="B12">
        <v>6</v>
      </c>
      <c r="C12">
        <v>9</v>
      </c>
    </row>
    <row r="13" spans="1:7" x14ac:dyDescent="0.25">
      <c r="A13">
        <v>4639</v>
      </c>
      <c r="B13">
        <v>5</v>
      </c>
      <c r="C13">
        <v>1</v>
      </c>
    </row>
    <row r="14" spans="1:7" x14ac:dyDescent="0.25">
      <c r="A14">
        <v>4640</v>
      </c>
      <c r="B14">
        <v>4</v>
      </c>
      <c r="C14">
        <v>2</v>
      </c>
    </row>
    <row r="15" spans="1:7" x14ac:dyDescent="0.25">
      <c r="A15">
        <v>4641</v>
      </c>
      <c r="B15">
        <v>3</v>
      </c>
      <c r="C15">
        <v>3</v>
      </c>
    </row>
    <row r="16" spans="1:7" x14ac:dyDescent="0.25">
      <c r="A16">
        <v>4642</v>
      </c>
      <c r="B16">
        <v>2</v>
      </c>
      <c r="C16">
        <v>4</v>
      </c>
    </row>
    <row r="17" spans="1:3" x14ac:dyDescent="0.25">
      <c r="A17">
        <v>4643</v>
      </c>
      <c r="B17">
        <v>1</v>
      </c>
      <c r="C17">
        <v>5</v>
      </c>
    </row>
    <row r="18" spans="1:3" x14ac:dyDescent="0.25">
      <c r="A18">
        <v>4644</v>
      </c>
      <c r="B18">
        <v>9</v>
      </c>
      <c r="C18">
        <v>6</v>
      </c>
    </row>
    <row r="19" spans="1:3" x14ac:dyDescent="0.25">
      <c r="A19">
        <v>4645</v>
      </c>
      <c r="B19">
        <v>8</v>
      </c>
      <c r="C19">
        <v>7</v>
      </c>
    </row>
    <row r="20" spans="1:3" x14ac:dyDescent="0.25">
      <c r="A20">
        <v>4646</v>
      </c>
      <c r="B20">
        <v>7</v>
      </c>
      <c r="C20">
        <v>8</v>
      </c>
    </row>
    <row r="21" spans="1:3" x14ac:dyDescent="0.25">
      <c r="A21">
        <v>4647</v>
      </c>
      <c r="B21">
        <v>6</v>
      </c>
      <c r="C21">
        <v>9</v>
      </c>
    </row>
    <row r="22" spans="1:3" x14ac:dyDescent="0.25">
      <c r="A22">
        <v>4648</v>
      </c>
      <c r="B22">
        <v>5</v>
      </c>
      <c r="C22">
        <v>1</v>
      </c>
    </row>
    <row r="23" spans="1:3" x14ac:dyDescent="0.25">
      <c r="A23">
        <v>4649</v>
      </c>
      <c r="B23">
        <v>4</v>
      </c>
      <c r="C23">
        <v>2</v>
      </c>
    </row>
    <row r="24" spans="1:3" x14ac:dyDescent="0.25">
      <c r="A24">
        <v>4650</v>
      </c>
      <c r="B24">
        <v>3</v>
      </c>
      <c r="C24">
        <v>3</v>
      </c>
    </row>
    <row r="25" spans="1:3" x14ac:dyDescent="0.25">
      <c r="A25">
        <v>4651</v>
      </c>
      <c r="B25">
        <v>2</v>
      </c>
      <c r="C25">
        <v>4</v>
      </c>
    </row>
    <row r="26" spans="1:3" x14ac:dyDescent="0.25">
      <c r="A26">
        <v>4652</v>
      </c>
      <c r="B26">
        <v>1</v>
      </c>
      <c r="C26">
        <v>5</v>
      </c>
    </row>
    <row r="27" spans="1:3" x14ac:dyDescent="0.25">
      <c r="A27">
        <v>4653</v>
      </c>
      <c r="B27">
        <v>9</v>
      </c>
      <c r="C27">
        <v>6</v>
      </c>
    </row>
    <row r="28" spans="1:3" x14ac:dyDescent="0.25">
      <c r="A28">
        <v>4654</v>
      </c>
      <c r="B28">
        <v>8</v>
      </c>
      <c r="C28">
        <v>7</v>
      </c>
    </row>
    <row r="29" spans="1:3" x14ac:dyDescent="0.25">
      <c r="A29">
        <v>4655</v>
      </c>
      <c r="B29">
        <v>7</v>
      </c>
      <c r="C29">
        <v>8</v>
      </c>
    </row>
    <row r="30" spans="1:3" x14ac:dyDescent="0.25">
      <c r="A30">
        <v>4656</v>
      </c>
      <c r="B30">
        <v>6</v>
      </c>
      <c r="C30">
        <v>9</v>
      </c>
    </row>
    <row r="31" spans="1:3" x14ac:dyDescent="0.25">
      <c r="A31">
        <v>4657</v>
      </c>
      <c r="B31">
        <v>5</v>
      </c>
      <c r="C31">
        <v>1</v>
      </c>
    </row>
    <row r="32" spans="1:3" x14ac:dyDescent="0.25">
      <c r="A32">
        <v>4658</v>
      </c>
      <c r="B32">
        <v>4</v>
      </c>
      <c r="C32">
        <v>2</v>
      </c>
    </row>
    <row r="33" spans="1:3" x14ac:dyDescent="0.25">
      <c r="A33">
        <v>4659</v>
      </c>
      <c r="B33">
        <v>3</v>
      </c>
      <c r="C33">
        <v>3</v>
      </c>
    </row>
    <row r="34" spans="1:3" x14ac:dyDescent="0.25">
      <c r="A34">
        <v>4660</v>
      </c>
      <c r="B34">
        <v>2</v>
      </c>
      <c r="C34">
        <v>4</v>
      </c>
    </row>
    <row r="35" spans="1:3" x14ac:dyDescent="0.25">
      <c r="A35">
        <v>4661</v>
      </c>
      <c r="B35">
        <v>1</v>
      </c>
      <c r="C35">
        <v>5</v>
      </c>
    </row>
    <row r="36" spans="1:3" x14ac:dyDescent="0.25">
      <c r="A36">
        <v>4662</v>
      </c>
      <c r="B36">
        <v>9</v>
      </c>
      <c r="C36">
        <v>6</v>
      </c>
    </row>
    <row r="37" spans="1:3" x14ac:dyDescent="0.25">
      <c r="A37">
        <v>4663</v>
      </c>
      <c r="B37">
        <v>8</v>
      </c>
      <c r="C37">
        <v>7</v>
      </c>
    </row>
    <row r="38" spans="1:3" x14ac:dyDescent="0.25">
      <c r="A38">
        <v>4664</v>
      </c>
      <c r="B38">
        <v>7</v>
      </c>
      <c r="C38">
        <v>8</v>
      </c>
    </row>
    <row r="39" spans="1:3" x14ac:dyDescent="0.25">
      <c r="A39">
        <v>4665</v>
      </c>
      <c r="B39">
        <v>6</v>
      </c>
      <c r="C39">
        <v>9</v>
      </c>
    </row>
    <row r="40" spans="1:3" x14ac:dyDescent="0.25">
      <c r="A40">
        <v>4666</v>
      </c>
      <c r="B40">
        <v>5</v>
      </c>
      <c r="C40">
        <v>1</v>
      </c>
    </row>
    <row r="41" spans="1:3" x14ac:dyDescent="0.25">
      <c r="A41">
        <v>4667</v>
      </c>
      <c r="B41">
        <v>4</v>
      </c>
      <c r="C41">
        <v>2</v>
      </c>
    </row>
    <row r="42" spans="1:3" x14ac:dyDescent="0.25">
      <c r="A42">
        <v>4668</v>
      </c>
      <c r="B42">
        <v>3</v>
      </c>
      <c r="C42">
        <v>3</v>
      </c>
    </row>
    <row r="43" spans="1:3" x14ac:dyDescent="0.25">
      <c r="A43">
        <v>4669</v>
      </c>
      <c r="B43">
        <v>2</v>
      </c>
      <c r="C43">
        <v>4</v>
      </c>
    </row>
    <row r="44" spans="1:3" x14ac:dyDescent="0.25">
      <c r="A44">
        <v>4670</v>
      </c>
      <c r="B44">
        <v>1</v>
      </c>
      <c r="C44">
        <v>5</v>
      </c>
    </row>
    <row r="45" spans="1:3" x14ac:dyDescent="0.25">
      <c r="A45">
        <v>4671</v>
      </c>
      <c r="B45">
        <v>9</v>
      </c>
      <c r="C45">
        <v>6</v>
      </c>
    </row>
    <row r="46" spans="1:3" x14ac:dyDescent="0.25">
      <c r="A46">
        <v>4672</v>
      </c>
      <c r="B46">
        <v>8</v>
      </c>
      <c r="C46">
        <v>7</v>
      </c>
    </row>
    <row r="47" spans="1:3" x14ac:dyDescent="0.25">
      <c r="A47">
        <v>4673</v>
      </c>
      <c r="B47">
        <v>7</v>
      </c>
      <c r="C47">
        <v>8</v>
      </c>
    </row>
    <row r="48" spans="1:3" x14ac:dyDescent="0.25">
      <c r="A48">
        <v>4674</v>
      </c>
      <c r="B48">
        <v>6</v>
      </c>
      <c r="C48">
        <v>9</v>
      </c>
    </row>
    <row r="49" spans="1:3" x14ac:dyDescent="0.25">
      <c r="A49">
        <v>4675</v>
      </c>
      <c r="B49">
        <v>5</v>
      </c>
      <c r="C49">
        <v>1</v>
      </c>
    </row>
    <row r="50" spans="1:3" x14ac:dyDescent="0.25">
      <c r="A50">
        <v>4676</v>
      </c>
      <c r="B50">
        <v>4</v>
      </c>
      <c r="C50">
        <v>2</v>
      </c>
    </row>
    <row r="51" spans="1:3" x14ac:dyDescent="0.25">
      <c r="A51">
        <v>4677</v>
      </c>
      <c r="B51">
        <v>3</v>
      </c>
      <c r="C51">
        <v>3</v>
      </c>
    </row>
    <row r="52" spans="1:3" x14ac:dyDescent="0.25">
      <c r="A52">
        <v>4678</v>
      </c>
      <c r="B52">
        <v>2</v>
      </c>
      <c r="C52">
        <v>4</v>
      </c>
    </row>
    <row r="53" spans="1:3" x14ac:dyDescent="0.25">
      <c r="A53">
        <v>4679</v>
      </c>
      <c r="B53">
        <v>1</v>
      </c>
      <c r="C53">
        <v>5</v>
      </c>
    </row>
    <row r="54" spans="1:3" x14ac:dyDescent="0.25">
      <c r="A54">
        <v>4680</v>
      </c>
      <c r="B54">
        <v>9</v>
      </c>
      <c r="C54">
        <v>6</v>
      </c>
    </row>
    <row r="55" spans="1:3" x14ac:dyDescent="0.25">
      <c r="A55">
        <v>4681</v>
      </c>
      <c r="B55">
        <v>8</v>
      </c>
      <c r="C55">
        <v>7</v>
      </c>
    </row>
    <row r="56" spans="1:3" x14ac:dyDescent="0.25">
      <c r="A56">
        <v>4682</v>
      </c>
      <c r="B56">
        <v>7</v>
      </c>
      <c r="C56">
        <v>8</v>
      </c>
    </row>
    <row r="57" spans="1:3" x14ac:dyDescent="0.25">
      <c r="A57">
        <v>4683</v>
      </c>
      <c r="B57">
        <v>6</v>
      </c>
      <c r="C57">
        <v>9</v>
      </c>
    </row>
    <row r="58" spans="1:3" x14ac:dyDescent="0.25">
      <c r="A58">
        <v>4684</v>
      </c>
      <c r="B58">
        <v>5</v>
      </c>
      <c r="C58">
        <v>1</v>
      </c>
    </row>
    <row r="59" spans="1:3" x14ac:dyDescent="0.25">
      <c r="A59">
        <v>4685</v>
      </c>
      <c r="B59">
        <v>4</v>
      </c>
      <c r="C59">
        <v>2</v>
      </c>
    </row>
    <row r="60" spans="1:3" x14ac:dyDescent="0.25">
      <c r="A60">
        <v>4686</v>
      </c>
      <c r="B60">
        <v>3</v>
      </c>
      <c r="C60">
        <v>3</v>
      </c>
    </row>
    <row r="61" spans="1:3" x14ac:dyDescent="0.25">
      <c r="A61">
        <v>4687</v>
      </c>
      <c r="B61">
        <v>2</v>
      </c>
      <c r="C61">
        <v>4</v>
      </c>
    </row>
    <row r="62" spans="1:3" x14ac:dyDescent="0.25">
      <c r="A62">
        <v>4688</v>
      </c>
      <c r="B62">
        <v>1</v>
      </c>
      <c r="C62">
        <v>5</v>
      </c>
    </row>
    <row r="63" spans="1:3" x14ac:dyDescent="0.25">
      <c r="A63">
        <v>4689</v>
      </c>
      <c r="B63">
        <v>9</v>
      </c>
      <c r="C63">
        <v>6</v>
      </c>
    </row>
    <row r="64" spans="1:3" x14ac:dyDescent="0.25">
      <c r="A64">
        <v>4690</v>
      </c>
      <c r="B64">
        <v>8</v>
      </c>
      <c r="C64">
        <v>7</v>
      </c>
    </row>
    <row r="65" spans="1:3" x14ac:dyDescent="0.25">
      <c r="A65">
        <v>4691</v>
      </c>
      <c r="B65">
        <v>7</v>
      </c>
      <c r="C65">
        <v>8</v>
      </c>
    </row>
    <row r="66" spans="1:3" x14ac:dyDescent="0.25">
      <c r="A66">
        <v>4692</v>
      </c>
      <c r="B66">
        <v>6</v>
      </c>
      <c r="C66">
        <v>9</v>
      </c>
    </row>
    <row r="67" spans="1:3" x14ac:dyDescent="0.25">
      <c r="A67">
        <v>4693</v>
      </c>
      <c r="B67">
        <v>5</v>
      </c>
      <c r="C67">
        <v>1</v>
      </c>
    </row>
    <row r="68" spans="1:3" x14ac:dyDescent="0.25">
      <c r="A68">
        <v>4694</v>
      </c>
      <c r="B68">
        <v>4</v>
      </c>
      <c r="C68">
        <v>2</v>
      </c>
    </row>
    <row r="69" spans="1:3" x14ac:dyDescent="0.25">
      <c r="A69">
        <v>4695</v>
      </c>
      <c r="B69">
        <v>3</v>
      </c>
      <c r="C69">
        <v>3</v>
      </c>
    </row>
    <row r="70" spans="1:3" x14ac:dyDescent="0.25">
      <c r="A70">
        <v>4696</v>
      </c>
      <c r="B70">
        <v>2</v>
      </c>
      <c r="C70">
        <v>4</v>
      </c>
    </row>
    <row r="71" spans="1:3" x14ac:dyDescent="0.25">
      <c r="A71">
        <v>4697</v>
      </c>
      <c r="B71">
        <v>1</v>
      </c>
      <c r="C71">
        <v>5</v>
      </c>
    </row>
    <row r="72" spans="1:3" x14ac:dyDescent="0.25">
      <c r="A72">
        <v>4698</v>
      </c>
      <c r="B72">
        <v>9</v>
      </c>
      <c r="C72">
        <v>6</v>
      </c>
    </row>
    <row r="73" spans="1:3" x14ac:dyDescent="0.25">
      <c r="A73">
        <v>4699</v>
      </c>
      <c r="B73">
        <v>8</v>
      </c>
      <c r="C73">
        <v>7</v>
      </c>
    </row>
    <row r="74" spans="1:3" x14ac:dyDescent="0.25">
      <c r="A74">
        <v>4700</v>
      </c>
      <c r="B74">
        <v>7</v>
      </c>
      <c r="C74">
        <v>8</v>
      </c>
    </row>
    <row r="75" spans="1:3" x14ac:dyDescent="0.25">
      <c r="A75">
        <v>4701</v>
      </c>
      <c r="B75">
        <v>6</v>
      </c>
      <c r="C75">
        <v>9</v>
      </c>
    </row>
    <row r="76" spans="1:3" x14ac:dyDescent="0.25">
      <c r="A76">
        <v>4702</v>
      </c>
      <c r="B76">
        <v>5</v>
      </c>
      <c r="C76">
        <v>1</v>
      </c>
    </row>
    <row r="77" spans="1:3" x14ac:dyDescent="0.25">
      <c r="A77">
        <v>4703</v>
      </c>
      <c r="B77">
        <v>4</v>
      </c>
      <c r="C77">
        <v>2</v>
      </c>
    </row>
    <row r="78" spans="1:3" x14ac:dyDescent="0.25">
      <c r="A78">
        <v>4704</v>
      </c>
      <c r="B78">
        <v>3</v>
      </c>
      <c r="C78">
        <v>3</v>
      </c>
    </row>
    <row r="79" spans="1:3" x14ac:dyDescent="0.25">
      <c r="A79">
        <v>4705</v>
      </c>
      <c r="B79">
        <v>2</v>
      </c>
      <c r="C79">
        <v>4</v>
      </c>
    </row>
    <row r="80" spans="1:3" x14ac:dyDescent="0.25">
      <c r="A80">
        <v>4706</v>
      </c>
      <c r="B80">
        <v>1</v>
      </c>
      <c r="C80">
        <v>5</v>
      </c>
    </row>
    <row r="81" spans="1:3" x14ac:dyDescent="0.25">
      <c r="A81">
        <v>4707</v>
      </c>
      <c r="B81">
        <v>9</v>
      </c>
      <c r="C81">
        <v>6</v>
      </c>
    </row>
    <row r="82" spans="1:3" x14ac:dyDescent="0.25">
      <c r="A82">
        <v>4708</v>
      </c>
      <c r="B82">
        <v>8</v>
      </c>
      <c r="C82">
        <v>7</v>
      </c>
    </row>
    <row r="83" spans="1:3" x14ac:dyDescent="0.25">
      <c r="A83">
        <v>4709</v>
      </c>
      <c r="B83">
        <v>7</v>
      </c>
      <c r="C83">
        <v>8</v>
      </c>
    </row>
    <row r="84" spans="1:3" x14ac:dyDescent="0.25">
      <c r="A84">
        <v>4710</v>
      </c>
      <c r="B84">
        <v>6</v>
      </c>
      <c r="C84">
        <v>9</v>
      </c>
    </row>
    <row r="85" spans="1:3" x14ac:dyDescent="0.25">
      <c r="A85">
        <v>4711</v>
      </c>
      <c r="B85">
        <v>5</v>
      </c>
      <c r="C85">
        <v>1</v>
      </c>
    </row>
    <row r="86" spans="1:3" x14ac:dyDescent="0.25">
      <c r="A86">
        <v>4712</v>
      </c>
      <c r="B86">
        <v>4</v>
      </c>
      <c r="C86">
        <v>2</v>
      </c>
    </row>
    <row r="87" spans="1:3" x14ac:dyDescent="0.25">
      <c r="A87">
        <v>4713</v>
      </c>
      <c r="B87">
        <v>3</v>
      </c>
      <c r="C87">
        <v>3</v>
      </c>
    </row>
    <row r="88" spans="1:3" x14ac:dyDescent="0.25">
      <c r="A88">
        <v>4714</v>
      </c>
      <c r="B88">
        <v>2</v>
      </c>
      <c r="C88">
        <v>4</v>
      </c>
    </row>
    <row r="89" spans="1:3" x14ac:dyDescent="0.25">
      <c r="A89">
        <v>4715</v>
      </c>
      <c r="B89">
        <v>1</v>
      </c>
      <c r="C89">
        <v>5</v>
      </c>
    </row>
    <row r="90" spans="1:3" x14ac:dyDescent="0.25">
      <c r="A90">
        <v>4716</v>
      </c>
      <c r="B90">
        <v>9</v>
      </c>
      <c r="C90">
        <v>6</v>
      </c>
    </row>
    <row r="91" spans="1:3" x14ac:dyDescent="0.25">
      <c r="A91">
        <v>4717</v>
      </c>
      <c r="B91">
        <v>8</v>
      </c>
      <c r="C91">
        <v>7</v>
      </c>
    </row>
    <row r="92" spans="1:3" x14ac:dyDescent="0.25">
      <c r="A92">
        <v>4718</v>
      </c>
      <c r="B92">
        <v>7</v>
      </c>
      <c r="C92">
        <v>8</v>
      </c>
    </row>
    <row r="93" spans="1:3" x14ac:dyDescent="0.25">
      <c r="A93">
        <v>4719</v>
      </c>
      <c r="B93">
        <v>6</v>
      </c>
      <c r="C93">
        <v>9</v>
      </c>
    </row>
    <row r="94" spans="1:3" x14ac:dyDescent="0.25">
      <c r="A94">
        <v>4720</v>
      </c>
      <c r="B94">
        <v>5</v>
      </c>
      <c r="C94">
        <v>1</v>
      </c>
    </row>
    <row r="95" spans="1:3" x14ac:dyDescent="0.25">
      <c r="A95">
        <v>4721</v>
      </c>
      <c r="B95">
        <v>4</v>
      </c>
      <c r="C95">
        <v>2</v>
      </c>
    </row>
    <row r="96" spans="1:3" x14ac:dyDescent="0.25">
      <c r="A96">
        <v>4722</v>
      </c>
      <c r="B96">
        <v>3</v>
      </c>
      <c r="C96">
        <v>3</v>
      </c>
    </row>
    <row r="97" spans="1:3" x14ac:dyDescent="0.25">
      <c r="A97">
        <v>4723</v>
      </c>
      <c r="B97">
        <v>2</v>
      </c>
      <c r="C97">
        <v>4</v>
      </c>
    </row>
    <row r="98" spans="1:3" x14ac:dyDescent="0.25">
      <c r="A98">
        <v>4724</v>
      </c>
      <c r="B98">
        <v>1</v>
      </c>
      <c r="C98">
        <v>5</v>
      </c>
    </row>
    <row r="99" spans="1:3" x14ac:dyDescent="0.25">
      <c r="A99">
        <v>4725</v>
      </c>
      <c r="B99">
        <v>9</v>
      </c>
      <c r="C99">
        <v>6</v>
      </c>
    </row>
    <row r="100" spans="1:3" x14ac:dyDescent="0.25">
      <c r="A100">
        <v>4726</v>
      </c>
      <c r="B100">
        <v>8</v>
      </c>
      <c r="C100">
        <v>7</v>
      </c>
    </row>
    <row r="101" spans="1:3" x14ac:dyDescent="0.25">
      <c r="A101">
        <v>4727</v>
      </c>
      <c r="B101">
        <v>7</v>
      </c>
      <c r="C101">
        <v>8</v>
      </c>
    </row>
    <row r="102" spans="1:3" x14ac:dyDescent="0.25">
      <c r="A102">
        <v>4728</v>
      </c>
      <c r="B102">
        <v>6</v>
      </c>
      <c r="C102">
        <v>9</v>
      </c>
    </row>
    <row r="103" spans="1:3" x14ac:dyDescent="0.25">
      <c r="A103">
        <v>4729</v>
      </c>
      <c r="B103">
        <v>5</v>
      </c>
      <c r="C103">
        <v>1</v>
      </c>
    </row>
    <row r="104" spans="1:3" x14ac:dyDescent="0.25">
      <c r="A104">
        <v>4730</v>
      </c>
      <c r="B104">
        <v>4</v>
      </c>
      <c r="C104">
        <v>2</v>
      </c>
    </row>
    <row r="105" spans="1:3" x14ac:dyDescent="0.25">
      <c r="A105">
        <v>4731</v>
      </c>
      <c r="B105">
        <v>3</v>
      </c>
      <c r="C105">
        <v>3</v>
      </c>
    </row>
    <row r="106" spans="1:3" x14ac:dyDescent="0.25">
      <c r="A106">
        <v>4732</v>
      </c>
      <c r="B106">
        <v>2</v>
      </c>
      <c r="C106">
        <v>4</v>
      </c>
    </row>
    <row r="107" spans="1:3" x14ac:dyDescent="0.25">
      <c r="A107">
        <v>4733</v>
      </c>
      <c r="B107">
        <v>1</v>
      </c>
      <c r="C107">
        <v>5</v>
      </c>
    </row>
    <row r="108" spans="1:3" x14ac:dyDescent="0.25">
      <c r="A108">
        <v>4734</v>
      </c>
      <c r="B108">
        <v>9</v>
      </c>
      <c r="C108">
        <v>6</v>
      </c>
    </row>
    <row r="109" spans="1:3" x14ac:dyDescent="0.25">
      <c r="A109">
        <v>4735</v>
      </c>
      <c r="B109">
        <v>8</v>
      </c>
      <c r="C109">
        <v>7</v>
      </c>
    </row>
    <row r="110" spans="1:3" x14ac:dyDescent="0.25">
      <c r="A110">
        <v>4736</v>
      </c>
      <c r="B110">
        <v>7</v>
      </c>
      <c r="C110">
        <v>8</v>
      </c>
    </row>
    <row r="111" spans="1:3" x14ac:dyDescent="0.25">
      <c r="A111">
        <v>4737</v>
      </c>
      <c r="B111">
        <v>6</v>
      </c>
      <c r="C111">
        <v>9</v>
      </c>
    </row>
    <row r="112" spans="1:3" x14ac:dyDescent="0.25">
      <c r="A112">
        <v>4738</v>
      </c>
      <c r="B112">
        <v>5</v>
      </c>
      <c r="C112">
        <v>1</v>
      </c>
    </row>
    <row r="113" spans="1:3" x14ac:dyDescent="0.25">
      <c r="A113">
        <v>4739</v>
      </c>
      <c r="B113">
        <v>4</v>
      </c>
      <c r="C113">
        <v>2</v>
      </c>
    </row>
    <row r="114" spans="1:3" x14ac:dyDescent="0.25">
      <c r="A114">
        <v>4740</v>
      </c>
      <c r="B114">
        <v>3</v>
      </c>
      <c r="C114">
        <v>3</v>
      </c>
    </row>
    <row r="115" spans="1:3" x14ac:dyDescent="0.25">
      <c r="A115">
        <v>4741</v>
      </c>
      <c r="B115">
        <v>2</v>
      </c>
      <c r="C115">
        <v>4</v>
      </c>
    </row>
    <row r="116" spans="1:3" x14ac:dyDescent="0.25">
      <c r="A116">
        <v>4742</v>
      </c>
      <c r="B116">
        <v>1</v>
      </c>
      <c r="C116">
        <v>5</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BAEB1AC-41F2-40C7-BCB2-8B2F7AA5F2D4}">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12</vt:i4>
      </vt:variant>
      <vt:variant>
        <vt:lpstr>Именованные диапазоны</vt:lpstr>
      </vt:variant>
      <vt:variant>
        <vt:i4>95</vt:i4>
      </vt:variant>
    </vt:vector>
  </HeadingPairs>
  <TitlesOfParts>
    <vt:vector size="107" baseType="lpstr">
      <vt:lpstr>Лист1</vt:lpstr>
      <vt:lpstr>Кристалл Судьбы</vt:lpstr>
      <vt:lpstr>Мандала</vt:lpstr>
      <vt:lpstr>Совместимость</vt:lpstr>
      <vt:lpstr>Прогностика</vt:lpstr>
      <vt:lpstr>Халдейская</vt:lpstr>
      <vt:lpstr>Алфавит</vt:lpstr>
      <vt:lpstr>Планеты</vt:lpstr>
      <vt:lpstr>Кармические Страны</vt:lpstr>
      <vt:lpstr>МК Дата</vt:lpstr>
      <vt:lpstr>Каст</vt:lpstr>
      <vt:lpstr>Лист2</vt:lpstr>
      <vt:lpstr>Age</vt:lpstr>
      <vt:lpstr>Alphabet</vt:lpstr>
      <vt:lpstr>AlphabetEng</vt:lpstr>
      <vt:lpstr>AlphabetRus</vt:lpstr>
      <vt:lpstr>CoZ</vt:lpstr>
      <vt:lpstr>CZ_1</vt:lpstr>
      <vt:lpstr>CZ_12</vt:lpstr>
      <vt:lpstr>CZ_2</vt:lpstr>
      <vt:lpstr>CZ_21</vt:lpstr>
      <vt:lpstr>CZ_3</vt:lpstr>
      <vt:lpstr>D_13</vt:lpstr>
      <vt:lpstr>D_23</vt:lpstr>
      <vt:lpstr>D_3</vt:lpstr>
      <vt:lpstr>DayTaro1</vt:lpstr>
      <vt:lpstr>DayTaro2</vt:lpstr>
      <vt:lpstr>DayTaroS</vt:lpstr>
      <vt:lpstr>DOB</vt:lpstr>
      <vt:lpstr>DOB_D1</vt:lpstr>
      <vt:lpstr>DOB_D2</vt:lpstr>
      <vt:lpstr>DOB_Day</vt:lpstr>
      <vt:lpstr>DOB_Day1</vt:lpstr>
      <vt:lpstr>DOB_Day2</vt:lpstr>
      <vt:lpstr>DOB_M1</vt:lpstr>
      <vt:lpstr>DOB_M2</vt:lpstr>
      <vt:lpstr>DOB_Month</vt:lpstr>
      <vt:lpstr>DOB_Month1</vt:lpstr>
      <vt:lpstr>DOB_Month2</vt:lpstr>
      <vt:lpstr>DOB_Y1</vt:lpstr>
      <vt:lpstr>DOB_Y2</vt:lpstr>
      <vt:lpstr>DOB_Y3</vt:lpstr>
      <vt:lpstr>DOB_Y4</vt:lpstr>
      <vt:lpstr>DOB_Year</vt:lpstr>
      <vt:lpstr>DOB_Year1</vt:lpstr>
      <vt:lpstr>DOB_Year2</vt:lpstr>
      <vt:lpstr>FirstName</vt:lpstr>
      <vt:lpstr>KN_2</vt:lpstr>
      <vt:lpstr>KN_3</vt:lpstr>
      <vt:lpstr>KN_4</vt:lpstr>
      <vt:lpstr>KN_Main</vt:lpstr>
      <vt:lpstr>LastName</vt:lpstr>
      <vt:lpstr>M_13</vt:lpstr>
      <vt:lpstr>M_23</vt:lpstr>
      <vt:lpstr>M_3</vt:lpstr>
      <vt:lpstr>MiddleName</vt:lpstr>
      <vt:lpstr>MK</vt:lpstr>
      <vt:lpstr>MKist</vt:lpstr>
      <vt:lpstr>MKist1</vt:lpstr>
      <vt:lpstr>MKist2</vt:lpstr>
      <vt:lpstr>MonthTaro1</vt:lpstr>
      <vt:lpstr>MonthTaro2</vt:lpstr>
      <vt:lpstr>MonthtaroS</vt:lpstr>
      <vt:lpstr>MOPV_1</vt:lpstr>
      <vt:lpstr>MOPV_2</vt:lpstr>
      <vt:lpstr>MOPV_3</vt:lpstr>
      <vt:lpstr>MOPV_4</vt:lpstr>
      <vt:lpstr>MOPV_Dop</vt:lpstr>
      <vt:lpstr>MOPV_G</vt:lpstr>
      <vt:lpstr>Name1</vt:lpstr>
      <vt:lpstr>Name2</vt:lpstr>
      <vt:lpstr>NameArc</vt:lpstr>
      <vt:lpstr>NameArc1</vt:lpstr>
      <vt:lpstr>NameArc2</vt:lpstr>
      <vt:lpstr>OPV</vt:lpstr>
      <vt:lpstr>OPV_1</vt:lpstr>
      <vt:lpstr>OPV_2</vt:lpstr>
      <vt:lpstr>OPV_DOP</vt:lpstr>
      <vt:lpstr>OPV1_Dop</vt:lpstr>
      <vt:lpstr>OPV2_Dop</vt:lpstr>
      <vt:lpstr>StagnationFactor</vt:lpstr>
      <vt:lpstr>TaroDay</vt:lpstr>
      <vt:lpstr>TaroMonth</vt:lpstr>
      <vt:lpstr>TaroName</vt:lpstr>
      <vt:lpstr>TaroYear</vt:lpstr>
      <vt:lpstr>TP</vt:lpstr>
      <vt:lpstr>TP_1</vt:lpstr>
      <vt:lpstr>TP_2</vt:lpstr>
      <vt:lpstr>TP_22</vt:lpstr>
      <vt:lpstr>TP_3</vt:lpstr>
      <vt:lpstr>TP_4</vt:lpstr>
      <vt:lpstr>TP_DOP</vt:lpstr>
      <vt:lpstr>TP_Main</vt:lpstr>
      <vt:lpstr>Volwels</vt:lpstr>
      <vt:lpstr>WorkNum_1</vt:lpstr>
      <vt:lpstr>WorkNum_2</vt:lpstr>
      <vt:lpstr>WorkNum_3</vt:lpstr>
      <vt:lpstr>WorkNum_4</vt:lpstr>
      <vt:lpstr>WorkNum_5</vt:lpstr>
      <vt:lpstr>WorkNum_6</vt:lpstr>
      <vt:lpstr>Y_13</vt:lpstr>
      <vt:lpstr>Y_23</vt:lpstr>
      <vt:lpstr>Y_3</vt:lpstr>
      <vt:lpstr>YearTaro1</vt:lpstr>
      <vt:lpstr>YearTaro2</vt:lpstr>
      <vt:lpstr>YearTaroS</vt:lpstr>
      <vt:lpstr>'Кристалл Судьбы'!Область_печати</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Vasily Dyshlov</dc:creator>
  <cp:keywords/>
  <dc:description/>
  <cp:lastModifiedBy>User</cp:lastModifiedBy>
  <cp:revision/>
  <dcterms:created xsi:type="dcterms:W3CDTF">2017-06-21T21:03:13Z</dcterms:created>
  <dcterms:modified xsi:type="dcterms:W3CDTF">2022-12-05T18:55:55Z</dcterms:modified>
  <cp:category/>
  <cp:contentStatus/>
</cp:coreProperties>
</file>